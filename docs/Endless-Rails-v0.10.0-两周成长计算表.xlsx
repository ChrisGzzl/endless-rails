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5e72358dd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两周成长" sheetId="1" r:id="R38585bc1090146bd"/>
    <x:sheet xmlns:r="http://schemas.openxmlformats.org/officeDocument/2006/relationships" name="参数" sheetId="2" r:id="R763ac5ae161a4da9"/>
    <x:sheet xmlns:r="http://schemas.openxmlformats.org/officeDocument/2006/relationships" name="成本曲线" sheetId="3" r:id="R922c216cf3c6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0"/>
    <x:numFmt numFmtId="202" formatCode="0.0"/>
    <x:numFmt numFmtId="203" formatCode="#,##0"/>
    <x:numFmt numFmtId="204" formatCode="0"/>
    <x:numFmt numFmtId="205" formatCode="#,##0.0"/>
  </x:numFmts>
  <x:fonts count="11">
    <x:font>
      <x:sz val="11"/>
      <x:name val="Carlito"/>
    </x:font>
    <x:font>
      <x:sz val="11"/>
      <x:color rgb="FF253347"/>
      <x:name val="Arial"/>
    </x:font>
    <x:font>
      <x:b/>
      <x:sz val="16"/>
      <x:color rgb="FF243E60"/>
      <x:name val="Arial"/>
    </x:font>
    <x:font>
      <x:b/>
      <x:sz val="11"/>
      <x:color rgb="FFFFFFFF"/>
      <x:name val="Arial"/>
    </x:font>
    <x:font>
      <x:b/>
      <x:sz val="11"/>
      <x:color rgb="FF253347"/>
      <x:name val="Arial"/>
    </x:font>
    <x:font>
      <x:sz val="11"/>
      <x:color rgb="FF253347"/>
      <x:name val="Noto Sans CJK SC"/>
    </x:font>
    <x:font>
      <x:b/>
      <x:sz val="16"/>
      <x:color rgb="FF243E60"/>
      <x:name val="Noto Sans CJK SC"/>
    </x:font>
    <x:font>
      <x:b/>
      <x:sz val="11"/>
      <x:color rgb="FFFFFFFF"/>
      <x:name val="Noto Sans CJK SC"/>
    </x:font>
    <x:font>
      <x:b/>
      <x:sz val="11"/>
      <x:color rgb="FF253347"/>
      <x:name val="Noto Sans CJK SC"/>
    </x:font>
    <x:font>
      <x:sz val="11"/>
      <x:name val="Noto Sans CJK SC"/>
    </x:font>
    <x:font>
      <x:sz val="11"/>
      <x:color rgb="FF66768A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3E60"/>
      </x:patternFill>
    </x:fill>
    <x:fill>
      <x:patternFill patternType="solid">
        <x:fgColor rgb="FFEDF2F7"/>
      </x:patternFill>
    </x:fill>
    <x:fill>
      <x:patternFill patternType="solid">
        <x:fgColor rgb="FFF3F6FA"/>
      </x:patternFill>
    </x:fill>
  </x:fills>
  <x:borders count="5">
    <x:border/>
    <x:border>
      <x:bottom style="thin">
        <x:color rgb="FFB7C4D1"/>
      </x:bottom>
    </x:border>
    <x:border>
      <x:left style="dotted">
        <x:color rgb="FFA3B4C8"/>
      </x:left>
      <x:top style="dotted">
        <x:color rgb="FFA3B4C8"/>
      </x:top>
      <x:bottom style="dotted">
        <x:color rgb="FFA3B4C8"/>
      </x:bottom>
    </x:border>
    <x:border>
      <x:top style="dotted">
        <x:color rgb="FFA3B4C8"/>
      </x:top>
      <x:bottom style="dotted">
        <x:color rgb="FFA3B4C8"/>
      </x:bottom>
    </x:border>
    <x:border>
      <x:right style="dotted">
        <x:color rgb="FFA3B4C8"/>
      </x:right>
      <x:top style="dotted">
        <x:color rgb="FFA3B4C8"/>
      </x:top>
      <x:bottom style="dotted">
        <x:color rgb="FFA3B4C8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 wrapText="1"/>
    </x:xf>
    <x:xf numFmtId="204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4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 applyAlignment="1">
      <x:alignment vertical="center"/>
    </x:xf>
    <x:xf numFmtId="205" fontId="5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3" fontId="5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582601fd64ba2" /><Relationship Type="http://schemas.openxmlformats.org/officeDocument/2006/relationships/theme" Target="/xl/theme/theme1.xml" Id="R216c673ea11842ac" /><Relationship Type="http://schemas.openxmlformats.org/officeDocument/2006/relationships/sharedStrings" Target="/xl/sharedStrings.xml" Id="Rb3887b5f488f4e34" /><Relationship Type="http://schemas.openxmlformats.org/officeDocument/2006/relationships/worksheet" Target="/xl/worksheets/sheet1.xml" Id="R38585bc1090146bd" /><Relationship Type="http://schemas.openxmlformats.org/officeDocument/2006/relationships/worksheet" Target="/xl/worksheets/sheet2.xml" Id="R763ac5ae161a4da9" /><Relationship Type="http://schemas.openxmlformats.org/officeDocument/2006/relationships/worksheet" Target="/xl/worksheets/sheet3.xml" Id="R922c216cf3c640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60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0" hidden="0" customWidth="1"/>
    <x:col min="10" max="10" width="1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</x:cols>
  <x:sheetData>
    <x:row r="1" ht="25" customHeight="1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25" customHeight="1">
      <x:c r="A2" s="37" t="str">
        <x:v>Endless Rails · 两周成长模型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25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25" customHeight="1">
      <x:c r="A4" s="36" t="str">
        <x:v>当前情景</x:v>
      </x:c>
      <x:c r="B4" s="39" t="str">
        <x:f>'参数'!C4</x:f>
        <x:v>标准</x:v>
      </x:c>
      <x:c r="C4" s="40"/>
      <x:c r="D4" s="41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</x:row>
    <x:row r="5" ht="25" customHeight="1">
      <x:c r="A5" s="36" t="str">
        <x:v>均衡研究等级＝累计预算可同时买到的七项最低等级；预算不是消费后余额。</x:v>
      </x:c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25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</x:row>
    <x:row r="7" ht="25" customHeight="1">
      <x:c r="A7" s="36" t="str">
        <x:v>14天出发</x:v>
      </x:c>
      <x:c r="B7" s="42" t="n">
        <x:f>G24</x:f>
        <x:v>420</x:v>
      </x:c>
      <x:c r="C7" s="36"/>
      <x:c r="D7" s="36" t="str">
        <x:v>列车等级</x:v>
      </x:c>
      <x:c r="E7" s="42" t="n">
        <x:f>I24</x:f>
        <x:v>30</x:v>
      </x:c>
      <x:c r="F7" s="36"/>
      <x:c r="G7" s="36" t="str">
        <x:v>均衡研究</x:v>
      </x:c>
      <x:c r="H7" s="42" t="n">
        <x:f>N24</x:f>
        <x:v>30</x:v>
      </x:c>
      <x:c r="I7" s="36"/>
      <x:c r="J7" s="36" t="str">
        <x:v>日均分钟</x:v>
      </x:c>
      <x:c r="K7" s="43" t="n">
        <x:f>AVERAGE(O11:O24)</x:f>
        <x:v>158.57142857142858</x:v>
      </x:c>
      <x:c r="L7" s="36"/>
      <x:c r="M7" s="36"/>
      <x:c r="N7" s="36"/>
      <x:c r="O7" s="36"/>
    </x:row>
    <x:row r="8" ht="25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</x:row>
    <x:row r="9" ht="25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36" customHeight="1">
      <x:c r="A10" s="44" t="str">
        <x:v>第几天</x:v>
      </x:c>
      <x:c r="B10" s="44" t="str">
        <x:v>当日可用体力</x:v>
      </x:c>
      <x:c r="C10" s="44" t="str">
        <x:v>实际出发</x:v>
      </x:c>
      <x:c r="D10" s="44" t="str">
        <x:v>剩余体力</x:v>
      </x:c>
      <x:c r="E10" s="44" t="str">
        <x:v>通关率</x:v>
      </x:c>
      <x:c r="F10" s="44" t="str">
        <x:v>期望成功局</x:v>
      </x:c>
      <x:c r="G10" s="44" t="str">
        <x:v>累计出发</x:v>
      </x:c>
      <x:c r="H10" s="44" t="str">
        <x:v>累计XP</x:v>
      </x:c>
      <x:c r="I10" s="44" t="str">
        <x:v>列车Lv</x:v>
      </x:c>
      <x:c r="J10" s="44" t="str">
        <x:v>天赋点</x:v>
      </x:c>
      <x:c r="K10" s="44" t="str">
        <x:v>累计研究废料预算</x:v>
      </x:c>
      <x:c r="L10" s="44" t="str">
        <x:v>累计数据预算</x:v>
      </x:c>
      <x:c r="M10" s="44" t="str">
        <x:v>累计组件预算</x:v>
      </x:c>
      <x:c r="N10" s="44" t="str">
        <x:v>均衡研究Lv</x:v>
      </x:c>
      <x:c r="O10" s="44" t="str">
        <x:v>当日分钟</x:v>
      </x:c>
    </x:row>
    <x:row r="11" ht="25" customHeight="1">
      <x:c r="A11" s="45" t="n">
        <x:v>1</x:v>
      </x:c>
      <x:c r="B11" s="45" t="n">
        <x:f>MIN('参数'!$B$9,'参数'!$F$12)+'参数'!$F$9+'参数'!B65*'参数'!$F$10</x:f>
        <x:v>300</x:v>
      </x:c>
      <x:c r="C11" s="45" t="n">
        <x:f>MIN('参数'!B51,'参数'!$B$10,INT(B11/'参数'!$F$8))</x:f>
        <x:v>30</x:v>
      </x:c>
      <x:c r="D11" s="45" t="n">
        <x:f>B11-C11*'参数'!$F$8</x:f>
        <x:v>0</x:v>
      </x:c>
      <x:c r="E11" s="46" t="n">
        <x:f>'参数'!B58</x:f>
        <x:v>0.65</x:v>
      </x:c>
      <x:c r="F11" s="47" t="n">
        <x:f>C11*E11</x:f>
        <x:v>19.5</x:v>
      </x:c>
      <x:c r="G11" s="48" t="n">
        <x:f>0+C11</x:f>
        <x:v>30</x:v>
      </x:c>
      <x:c r="H11" s="49" t="n">
        <x:f>B34+F34</x:f>
        <x:v>5940</x:v>
      </x:c>
      <x:c r="I11" s="48" t="n">
        <x:f>MATCH(H11,'成本曲线'!$L$7:$L$36,1)</x:f>
        <x:v>8</x:v>
      </x:c>
      <x:c r="J11" s="48" t="n">
        <x:f>I11*2</x:f>
        <x:v>16</x:v>
      </x:c>
      <x:c r="K11" s="49" t="n">
        <x:f>C34+G34</x:f>
        <x:v>2945.3</x:v>
      </x:c>
      <x:c r="L11" s="49" t="n">
        <x:f>D34+H34</x:f>
        <x:v>322.2</x:v>
      </x:c>
      <x:c r="M11" s="49" t="n">
        <x:f>E34+I34</x:f>
        <x:v>89.84</x:v>
      </x:c>
      <x:c r="N11" s="48" t="n">
        <x:f>IF(MIN(K11,L11,M11)&lt;0,"预算不足",MIN(MATCH(K11,'成本曲线'!$G$7:$G$37,1)-1,MATCH(L11,'成本曲线'!$H$7:$H$37,1)-1,MATCH(M11,'成本曲线'!$I$7:$I$37,1)-1))</x:f>
        <x:v>7</x:v>
      </x:c>
      <x:c r="O11" s="47" t="n">
        <x:f>F11*'参数'!$B$29+(C11-F11)*'参数'!$B$30+C11*'参数'!$B$31</x:f>
        <x:v>151.5</x:v>
      </x:c>
    </x:row>
    <x:row r="12" ht="25" customHeight="1">
      <x:c r="A12" s="50" t="n">
        <x:v>2</x:v>
      </x:c>
      <x:c r="B12" s="50" t="n">
        <x:f>MIN('参数'!$B$9,D11+'参数'!$B$8)+'参数'!$F$9+'参数'!C65*'参数'!$F$10</x:f>
        <x:v>300</x:v>
      </x:c>
      <x:c r="C12" s="50" t="n">
        <x:f>MIN('参数'!C51,'参数'!$B$10,INT(B12/'参数'!$F$8))</x:f>
        <x:v>30</x:v>
      </x:c>
      <x:c r="D12" s="50" t="n">
        <x:f>B12-C12*'参数'!$F$8</x:f>
        <x:v>0</x:v>
      </x:c>
      <x:c r="E12" s="51" t="n">
        <x:f>'参数'!C58</x:f>
        <x:v>0.65</x:v>
      </x:c>
      <x:c r="F12" s="52" t="n">
        <x:f>C12*E12</x:f>
        <x:v>19.5</x:v>
      </x:c>
      <x:c r="G12" s="53" t="n">
        <x:f>G11+C12</x:f>
        <x:v>60</x:v>
      </x:c>
      <x:c r="H12" s="54" t="n">
        <x:f>B35+F35</x:f>
        <x:v>11880</x:v>
      </x:c>
      <x:c r="I12" s="53" t="n">
        <x:f>MATCH(H12,'成本曲线'!$L$7:$L$36,1)</x:f>
        <x:v>11</x:v>
      </x:c>
      <x:c r="J12" s="53" t="n">
        <x:f>I12*2</x:f>
        <x:v>22</x:v>
      </x:c>
      <x:c r="K12" s="54" t="n">
        <x:f>C35+G35</x:f>
        <x:v>5770.6</x:v>
      </x:c>
      <x:c r="L12" s="54" t="n">
        <x:f>D35+H35</x:f>
        <x:v>632.4000000000001</x:v>
      </x:c>
      <x:c r="M12" s="54" t="n">
        <x:f>E35+I35</x:f>
        <x:v>159.68</x:v>
      </x:c>
      <x:c r="N12" s="53" t="n">
        <x:f>IF(MIN(K12,L12,M12)&lt;0,"预算不足",MIN(MATCH(K12,'成本曲线'!$G$7:$G$37,1)-1,MATCH(L12,'成本曲线'!$H$7:$H$37,1)-1,MATCH(M12,'成本曲线'!$I$7:$I$37,1)-1))</x:f>
        <x:v>9</x:v>
      </x:c>
      <x:c r="O12" s="52" t="n">
        <x:f>F12*'参数'!$B$29+(C12-F12)*'参数'!$B$30+C12*'参数'!$B$31</x:f>
        <x:v>151.5</x:v>
      </x:c>
    </x:row>
    <x:row r="13" ht="25" customHeight="1">
      <x:c r="A13" s="45" t="n">
        <x:v>3</x:v>
      </x:c>
      <x:c r="B13" s="45" t="n">
        <x:f>MIN('参数'!$B$9,D12+'参数'!$B$8)+'参数'!$F$9+'参数'!D65*'参数'!$F$10</x:f>
        <x:v>300</x:v>
      </x:c>
      <x:c r="C13" s="45" t="n">
        <x:f>MIN('参数'!D51,'参数'!$B$10,INT(B13/'参数'!$F$8))</x:f>
        <x:v>30</x:v>
      </x:c>
      <x:c r="D13" s="45" t="n">
        <x:f>B13-C13*'参数'!$F$8</x:f>
        <x:v>0</x:v>
      </x:c>
      <x:c r="E13" s="46" t="n">
        <x:f>'参数'!D58</x:f>
        <x:v>0.65</x:v>
      </x:c>
      <x:c r="F13" s="47" t="n">
        <x:f>C13*E13</x:f>
        <x:v>19.5</x:v>
      </x:c>
      <x:c r="G13" s="48" t="n">
        <x:f>G12+C13</x:f>
        <x:v>90</x:v>
      </x:c>
      <x:c r="H13" s="49" t="n">
        <x:f>B36+F36</x:f>
        <x:v>17820</x:v>
      </x:c>
      <x:c r="I13" s="48" t="n">
        <x:f>MATCH(H13,'成本曲线'!$L$7:$L$36,1)</x:f>
        <x:v>14</x:v>
      </x:c>
      <x:c r="J13" s="48" t="n">
        <x:f>I13*2</x:f>
        <x:v>28</x:v>
      </x:c>
      <x:c r="K13" s="49" t="n">
        <x:f>C36+G36</x:f>
        <x:v>8595.9</x:v>
      </x:c>
      <x:c r="L13" s="49" t="n">
        <x:f>D36+H36</x:f>
        <x:v>942.6000000000001</x:v>
      </x:c>
      <x:c r="M13" s="49" t="n">
        <x:f>E36+I36</x:f>
        <x:v>229.52</x:v>
      </x:c>
      <x:c r="N13" s="48" t="n">
        <x:f>IF(MIN(K13,L13,M13)&lt;0,"预算不足",MIN(MATCH(K13,'成本曲线'!$G$7:$G$37,1)-1,MATCH(L13,'成本曲线'!$H$7:$H$37,1)-1,MATCH(M13,'成本曲线'!$I$7:$I$37,1)-1))</x:f>
        <x:v>11</x:v>
      </x:c>
      <x:c r="O13" s="47" t="n">
        <x:f>F13*'参数'!$B$29+(C13-F13)*'参数'!$B$30+C13*'参数'!$B$31</x:f>
        <x:v>151.5</x:v>
      </x:c>
    </x:row>
    <x:row r="14" ht="25" customHeight="1">
      <x:c r="A14" s="50" t="n">
        <x:v>4</x:v>
      </x:c>
      <x:c r="B14" s="50" t="n">
        <x:f>MIN('参数'!$B$9,D13+'参数'!$B$8)+'参数'!$F$9+'参数'!E65*'参数'!$F$10</x:f>
        <x:v>300</x:v>
      </x:c>
      <x:c r="C14" s="50" t="n">
        <x:f>MIN('参数'!E51,'参数'!$B$10,INT(B14/'参数'!$F$8))</x:f>
        <x:v>30</x:v>
      </x:c>
      <x:c r="D14" s="50" t="n">
        <x:f>B14-C14*'参数'!$F$8</x:f>
        <x:v>0</x:v>
      </x:c>
      <x:c r="E14" s="51" t="n">
        <x:f>'参数'!E58</x:f>
        <x:v>0.75</x:v>
      </x:c>
      <x:c r="F14" s="52" t="n">
        <x:f>C14*E14</x:f>
        <x:v>22.5</x:v>
      </x:c>
      <x:c r="G14" s="53" t="n">
        <x:f>G13+C14</x:f>
        <x:v>120</x:v>
      </x:c>
      <x:c r="H14" s="54" t="n">
        <x:f>B37+F37</x:f>
        <x:v>24120</x:v>
      </x:c>
      <x:c r="I14" s="53" t="n">
        <x:f>MATCH(H14,'成本曲线'!$L$7:$L$36,1)</x:f>
        <x:v>16</x:v>
      </x:c>
      <x:c r="J14" s="53" t="n">
        <x:f>I14*2</x:f>
        <x:v>32</x:v>
      </x:c>
      <x:c r="K14" s="54" t="n">
        <x:f>C37+G37</x:f>
        <x:v>11635.4</x:v>
      </x:c>
      <x:c r="L14" s="54" t="n">
        <x:f>D37+H37</x:f>
        <x:v>1275.6000000000001</x:v>
      </x:c>
      <x:c r="M14" s="54" t="n">
        <x:f>E37+I37</x:f>
        <x:v>305.12</x:v>
      </x:c>
      <x:c r="N14" s="53" t="n">
        <x:f>IF(MIN(K14,L14,M14)&lt;0,"预算不足",MIN(MATCH(K14,'成本曲线'!$G$7:$G$37,1)-1,MATCH(L14,'成本曲线'!$H$7:$H$37,1)-1,MATCH(M14,'成本曲线'!$I$7:$I$37,1)-1))</x:f>
        <x:v>13</x:v>
      </x:c>
      <x:c r="O14" s="52" t="n">
        <x:f>F14*'参数'!$B$29+(C14-F14)*'参数'!$B$30+C14*'参数'!$B$31</x:f>
        <x:v>157.5</x:v>
      </x:c>
    </x:row>
    <x:row r="15" ht="25" customHeight="1">
      <x:c r="A15" s="45" t="n">
        <x:v>5</x:v>
      </x:c>
      <x:c r="B15" s="45" t="n">
        <x:f>MIN('参数'!$B$9,D14+'参数'!$B$8)+'参数'!$F$9+'参数'!F65*'参数'!$F$10</x:f>
        <x:v>300</x:v>
      </x:c>
      <x:c r="C15" s="45" t="n">
        <x:f>MIN('参数'!F51,'参数'!$B$10,INT(B15/'参数'!$F$8))</x:f>
        <x:v>30</x:v>
      </x:c>
      <x:c r="D15" s="45" t="n">
        <x:f>B15-C15*'参数'!$F$8</x:f>
        <x:v>0</x:v>
      </x:c>
      <x:c r="E15" s="46" t="n">
        <x:f>'参数'!F58</x:f>
        <x:v>0.75</x:v>
      </x:c>
      <x:c r="F15" s="47" t="n">
        <x:f>C15*E15</x:f>
        <x:v>22.5</x:v>
      </x:c>
      <x:c r="G15" s="48" t="n">
        <x:f>G14+C15</x:f>
        <x:v>150</x:v>
      </x:c>
      <x:c r="H15" s="49" t="n">
        <x:f>B38+F38</x:f>
        <x:v>30420</x:v>
      </x:c>
      <x:c r="I15" s="48" t="n">
        <x:f>MATCH(H15,'成本曲线'!$L$7:$L$36,1)</x:f>
        <x:v>18</x:v>
      </x:c>
      <x:c r="J15" s="48" t="n">
        <x:f>I15*2</x:f>
        <x:v>36</x:v>
      </x:c>
      <x:c r="K15" s="49" t="n">
        <x:f>C38+G38</x:f>
        <x:v>14674.9</x:v>
      </x:c>
      <x:c r="L15" s="49" t="n">
        <x:f>D38+H38</x:f>
        <x:v>1608.6000000000001</x:v>
      </x:c>
      <x:c r="M15" s="49" t="n">
        <x:f>E38+I38</x:f>
        <x:v>380.72</x:v>
      </x:c>
      <x:c r="N15" s="48" t="n">
        <x:f>IF(MIN(K15,L15,M15)&lt;0,"预算不足",MIN(MATCH(K15,'成本曲线'!$G$7:$G$37,1)-1,MATCH(L15,'成本曲线'!$H$7:$H$37,1)-1,MATCH(M15,'成本曲线'!$I$7:$I$37,1)-1))</x:f>
        <x:v>15</x:v>
      </x:c>
      <x:c r="O15" s="47" t="n">
        <x:f>F15*'参数'!$B$29+(C15-F15)*'参数'!$B$30+C15*'参数'!$B$31</x:f>
        <x:v>157.5</x:v>
      </x:c>
    </x:row>
    <x:row r="16" ht="25" customHeight="1">
      <x:c r="A16" s="50" t="n">
        <x:v>6</x:v>
      </x:c>
      <x:c r="B16" s="50" t="n">
        <x:f>MIN('参数'!$B$9,D15+'参数'!$B$8)+'参数'!$F$9+'参数'!G65*'参数'!$F$10</x:f>
        <x:v>300</x:v>
      </x:c>
      <x:c r="C16" s="50" t="n">
        <x:f>MIN('参数'!G51,'参数'!$B$10,INT(B16/'参数'!$F$8))</x:f>
        <x:v>30</x:v>
      </x:c>
      <x:c r="D16" s="50" t="n">
        <x:f>B16-C16*'参数'!$F$8</x:f>
        <x:v>0</x:v>
      </x:c>
      <x:c r="E16" s="51" t="n">
        <x:f>'参数'!G58</x:f>
        <x:v>0.75</x:v>
      </x:c>
      <x:c r="F16" s="52" t="n">
        <x:f>C16*E16</x:f>
        <x:v>22.5</x:v>
      </x:c>
      <x:c r="G16" s="53" t="n">
        <x:f>G15+C16</x:f>
        <x:v>180</x:v>
      </x:c>
      <x:c r="H16" s="54" t="n">
        <x:f>B39+F39</x:f>
        <x:v>36720</x:v>
      </x:c>
      <x:c r="I16" s="53" t="n">
        <x:f>MATCH(H16,'成本曲线'!$L$7:$L$36,1)</x:f>
        <x:v>19</x:v>
      </x:c>
      <x:c r="J16" s="53" t="n">
        <x:f>I16*2</x:f>
        <x:v>38</x:v>
      </x:c>
      <x:c r="K16" s="54" t="n">
        <x:f>C39+G39</x:f>
        <x:v>17714.4</x:v>
      </x:c>
      <x:c r="L16" s="54" t="n">
        <x:f>D39+H39</x:f>
        <x:v>1941.6000000000001</x:v>
      </x:c>
      <x:c r="M16" s="54" t="n">
        <x:f>E39+I39</x:f>
        <x:v>456.32000000000005</x:v>
      </x:c>
      <x:c r="N16" s="53" t="n">
        <x:f>IF(MIN(K16,L16,M16)&lt;0,"预算不足",MIN(MATCH(K16,'成本曲线'!$G$7:$G$37,1)-1,MATCH(L16,'成本曲线'!$H$7:$H$37,1)-1,MATCH(M16,'成本曲线'!$I$7:$I$37,1)-1))</x:f>
        <x:v>17</x:v>
      </x:c>
      <x:c r="O16" s="52" t="n">
        <x:f>F16*'参数'!$B$29+(C16-F16)*'参数'!$B$30+C16*'参数'!$B$31</x:f>
        <x:v>157.5</x:v>
      </x:c>
    </x:row>
    <x:row r="17" ht="25" customHeight="1">
      <x:c r="A17" s="45" t="n">
        <x:v>7</x:v>
      </x:c>
      <x:c r="B17" s="45" t="n">
        <x:f>MIN('参数'!$B$9,D16+'参数'!$B$8)+'参数'!$F$9+'参数'!H65*'参数'!$F$10</x:f>
        <x:v>300</x:v>
      </x:c>
      <x:c r="C17" s="45" t="n">
        <x:f>MIN('参数'!H51,'参数'!$B$10,INT(B17/'参数'!$F$8))</x:f>
        <x:v>30</x:v>
      </x:c>
      <x:c r="D17" s="45" t="n">
        <x:f>B17-C17*'参数'!$F$8</x:f>
        <x:v>0</x:v>
      </x:c>
      <x:c r="E17" s="46" t="n">
        <x:f>'参数'!H58</x:f>
        <x:v>0.75</x:v>
      </x:c>
      <x:c r="F17" s="47" t="n">
        <x:f>C17*E17</x:f>
        <x:v>22.5</x:v>
      </x:c>
      <x:c r="G17" s="48" t="n">
        <x:f>G16+C17</x:f>
        <x:v>210</x:v>
      </x:c>
      <x:c r="H17" s="49" t="n">
        <x:f>B40+F40</x:f>
        <x:v>43020</x:v>
      </x:c>
      <x:c r="I17" s="48" t="n">
        <x:f>MATCH(H17,'成本曲线'!$L$7:$L$36,1)</x:f>
        <x:v>21</x:v>
      </x:c>
      <x:c r="J17" s="48" t="n">
        <x:f>I17*2</x:f>
        <x:v>42</x:v>
      </x:c>
      <x:c r="K17" s="49" t="n">
        <x:f>C40+G40</x:f>
        <x:v>20753.9</x:v>
      </x:c>
      <x:c r="L17" s="49" t="n">
        <x:f>D40+H40</x:f>
        <x:v>2274.6000000000004</x:v>
      </x:c>
      <x:c r="M17" s="49" t="n">
        <x:f>E40+I40</x:f>
        <x:v>531.9200000000001</x:v>
      </x:c>
      <x:c r="N17" s="48" t="n">
        <x:f>IF(MIN(K17,L17,M17)&lt;0,"预算不足",MIN(MATCH(K17,'成本曲线'!$G$7:$G$37,1)-1,MATCH(L17,'成本曲线'!$H$7:$H$37,1)-1,MATCH(M17,'成本曲线'!$I$7:$I$37,1)-1))</x:f>
        <x:v>19</x:v>
      </x:c>
      <x:c r="O17" s="47" t="n">
        <x:f>F17*'参数'!$B$29+(C17-F17)*'参数'!$B$30+C17*'参数'!$B$31</x:f>
        <x:v>157.5</x:v>
      </x:c>
    </x:row>
    <x:row r="18" ht="25" customHeight="1">
      <x:c r="A18" s="50" t="n">
        <x:v>8</x:v>
      </x:c>
      <x:c r="B18" s="50" t="n">
        <x:f>MIN('参数'!$B$9,D17+'参数'!$B$8)+'参数'!$F$9+'参数'!I65*'参数'!$F$10</x:f>
        <x:v>300</x:v>
      </x:c>
      <x:c r="C18" s="50" t="n">
        <x:f>MIN('参数'!I51,'参数'!$B$10,INT(B18/'参数'!$F$8))</x:f>
        <x:v>30</x:v>
      </x:c>
      <x:c r="D18" s="50" t="n">
        <x:f>B18-C18*'参数'!$F$8</x:f>
        <x:v>0</x:v>
      </x:c>
      <x:c r="E18" s="51" t="n">
        <x:f>'参数'!I58</x:f>
        <x:v>0.8</x:v>
      </x:c>
      <x:c r="F18" s="52" t="n">
        <x:f>C18*E18</x:f>
        <x:v>24</x:v>
      </x:c>
      <x:c r="G18" s="53" t="n">
        <x:f>G17+C18</x:f>
        <x:v>240</x:v>
      </x:c>
      <x:c r="H18" s="54" t="n">
        <x:f>B41+F41</x:f>
        <x:v>49500</x:v>
      </x:c>
      <x:c r="I18" s="53" t="n">
        <x:f>MATCH(H18,'成本曲线'!$L$7:$L$36,1)</x:f>
        <x:v>23</x:v>
      </x:c>
      <x:c r="J18" s="53" t="n">
        <x:f>I18*2</x:f>
        <x:v>46</x:v>
      </x:c>
      <x:c r="K18" s="54" t="n">
        <x:f>C41+G41</x:f>
        <x:v>23900.5</x:v>
      </x:c>
      <x:c r="L18" s="54" t="n">
        <x:f>D41+H41</x:f>
        <x:v>2619.0000000000005</x:v>
      </x:c>
      <x:c r="M18" s="54" t="n">
        <x:f>E41+I41</x:f>
        <x:v>610.4000000000001</x:v>
      </x:c>
      <x:c r="N18" s="53" t="n">
        <x:f>IF(MIN(K18,L18,M18)&lt;0,"预算不足",MIN(MATCH(K18,'成本曲线'!$G$7:$G$37,1)-1,MATCH(L18,'成本曲线'!$H$7:$H$37,1)-1,MATCH(M18,'成本曲线'!$I$7:$I$37,1)-1))</x:f>
        <x:v>21</x:v>
      </x:c>
      <x:c r="O18" s="52" t="n">
        <x:f>F18*'参数'!$B$29+(C18-F18)*'参数'!$B$30+C18*'参数'!$B$31</x:f>
        <x:v>160.5</x:v>
      </x:c>
    </x:row>
    <x:row r="19" ht="25" customHeight="1">
      <x:c r="A19" s="45" t="n">
        <x:v>9</x:v>
      </x:c>
      <x:c r="B19" s="45" t="n">
        <x:f>MIN('参数'!$B$9,D18+'参数'!$B$8)+'参数'!$F$9+'参数'!J65*'参数'!$F$10</x:f>
        <x:v>300</x:v>
      </x:c>
      <x:c r="C19" s="45" t="n">
        <x:f>MIN('参数'!J51,'参数'!$B$10,INT(B19/'参数'!$F$8))</x:f>
        <x:v>30</x:v>
      </x:c>
      <x:c r="D19" s="45" t="n">
        <x:f>B19-C19*'参数'!$F$8</x:f>
        <x:v>0</x:v>
      </x:c>
      <x:c r="E19" s="46" t="n">
        <x:f>'参数'!J58</x:f>
        <x:v>0.8</x:v>
      </x:c>
      <x:c r="F19" s="47" t="n">
        <x:f>C19*E19</x:f>
        <x:v>24</x:v>
      </x:c>
      <x:c r="G19" s="48" t="n">
        <x:f>G18+C19</x:f>
        <x:v>270</x:v>
      </x:c>
      <x:c r="H19" s="49" t="n">
        <x:f>B42+F42</x:f>
        <x:v>55980</x:v>
      </x:c>
      <x:c r="I19" s="48" t="n">
        <x:f>MATCH(H19,'成本曲线'!$L$7:$L$36,1)</x:f>
        <x:v>24</x:v>
      </x:c>
      <x:c r="J19" s="48" t="n">
        <x:f>I19*2</x:f>
        <x:v>48</x:v>
      </x:c>
      <x:c r="K19" s="49" t="n">
        <x:f>C42+G42</x:f>
        <x:v>27047.1</x:v>
      </x:c>
      <x:c r="L19" s="49" t="n">
        <x:f>D42+H42</x:f>
        <x:v>2963.4000000000005</x:v>
      </x:c>
      <x:c r="M19" s="49" t="n">
        <x:f>E42+I42</x:f>
        <x:v>688.8800000000001</x:v>
      </x:c>
      <x:c r="N19" s="48" t="n">
        <x:f>IF(MIN(K19,L19,M19)&lt;0,"预算不足",MIN(MATCH(K19,'成本曲线'!$G$7:$G$37,1)-1,MATCH(L19,'成本曲线'!$H$7:$H$37,1)-1,MATCH(M19,'成本曲线'!$I$7:$I$37,1)-1))</x:f>
        <x:v>22</x:v>
      </x:c>
      <x:c r="O19" s="47" t="n">
        <x:f>F19*'参数'!$B$29+(C19-F19)*'参数'!$B$30+C19*'参数'!$B$31</x:f>
        <x:v>160.5</x:v>
      </x:c>
    </x:row>
    <x:row r="20" ht="25" customHeight="1">
      <x:c r="A20" s="50" t="n">
        <x:v>10</x:v>
      </x:c>
      <x:c r="B20" s="50" t="n">
        <x:f>MIN('参数'!$B$9,D19+'参数'!$B$8)+'参数'!$F$9+'参数'!K65*'参数'!$F$10</x:f>
        <x:v>300</x:v>
      </x:c>
      <x:c r="C20" s="50" t="n">
        <x:f>MIN('参数'!K51,'参数'!$B$10,INT(B20/'参数'!$F$8))</x:f>
        <x:v>30</x:v>
      </x:c>
      <x:c r="D20" s="50" t="n">
        <x:f>B20-C20*'参数'!$F$8</x:f>
        <x:v>0</x:v>
      </x:c>
      <x:c r="E20" s="51" t="n">
        <x:f>'参数'!K58</x:f>
        <x:v>0.8</x:v>
      </x:c>
      <x:c r="F20" s="52" t="n">
        <x:f>C20*E20</x:f>
        <x:v>24</x:v>
      </x:c>
      <x:c r="G20" s="53" t="n">
        <x:f>G19+C20</x:f>
        <x:v>300</x:v>
      </x:c>
      <x:c r="H20" s="54" t="n">
        <x:f>B43+F43</x:f>
        <x:v>62460</x:v>
      </x:c>
      <x:c r="I20" s="53" t="n">
        <x:f>MATCH(H20,'成本曲线'!$L$7:$L$36,1)</x:f>
        <x:v>25</x:v>
      </x:c>
      <x:c r="J20" s="53" t="n">
        <x:f>I20*2</x:f>
        <x:v>50</x:v>
      </x:c>
      <x:c r="K20" s="54" t="n">
        <x:f>C43+G43</x:f>
        <x:v>30193.699999999997</x:v>
      </x:c>
      <x:c r="L20" s="54" t="n">
        <x:f>D43+H43</x:f>
        <x:v>3307.8000000000006</x:v>
      </x:c>
      <x:c r="M20" s="54" t="n">
        <x:f>E43+I43</x:f>
        <x:v>767.3600000000001</x:v>
      </x:c>
      <x:c r="N20" s="53" t="n">
        <x:f>IF(MIN(K20,L20,M20)&lt;0,"预算不足",MIN(MATCH(K20,'成本曲线'!$G$7:$G$37,1)-1,MATCH(L20,'成本曲线'!$H$7:$H$37,1)-1,MATCH(M20,'成本曲线'!$I$7:$I$37,1)-1))</x:f>
        <x:v>24</x:v>
      </x:c>
      <x:c r="O20" s="52" t="n">
        <x:f>F20*'参数'!$B$29+(C20-F20)*'参数'!$B$30+C20*'参数'!$B$31</x:f>
        <x:v>160.5</x:v>
      </x:c>
    </x:row>
    <x:row r="21" ht="25" customHeight="1">
      <x:c r="A21" s="45" t="n">
        <x:v>11</x:v>
      </x:c>
      <x:c r="B21" s="45" t="n">
        <x:f>MIN('参数'!$B$9,D20+'参数'!$B$8)+'参数'!$F$9+'参数'!L65*'参数'!$F$10</x:f>
        <x:v>300</x:v>
      </x:c>
      <x:c r="C21" s="45" t="n">
        <x:f>MIN('参数'!L51,'参数'!$B$10,INT(B21/'参数'!$F$8))</x:f>
        <x:v>30</x:v>
      </x:c>
      <x:c r="D21" s="45" t="n">
        <x:f>B21-C21*'参数'!$F$8</x:f>
        <x:v>0</x:v>
      </x:c>
      <x:c r="E21" s="46" t="n">
        <x:f>'参数'!L58</x:f>
        <x:v>0.85</x:v>
      </x:c>
      <x:c r="F21" s="47" t="n">
        <x:f>C21*E21</x:f>
        <x:v>25.5</x:v>
      </x:c>
      <x:c r="G21" s="48" t="n">
        <x:f>G20+C21</x:f>
        <x:v>330</x:v>
      </x:c>
      <x:c r="H21" s="49" t="n">
        <x:f>B44+F44</x:f>
        <x:v>69120</x:v>
      </x:c>
      <x:c r="I21" s="48" t="n">
        <x:f>MATCH(H21,'成本曲线'!$L$7:$L$36,1)</x:f>
        <x:v>27</x:v>
      </x:c>
      <x:c r="J21" s="48" t="n">
        <x:f>I21*2</x:f>
        <x:v>54</x:v>
      </x:c>
      <x:c r="K21" s="49" t="n">
        <x:f>C44+G44</x:f>
        <x:v>33447.399999999994</x:v>
      </x:c>
      <x:c r="L21" s="49" t="n">
        <x:f>D44+H44</x:f>
        <x:v>3663.600000000001</x:v>
      </x:c>
      <x:c r="M21" s="49" t="n">
        <x:f>E44+I44</x:f>
        <x:v>848.7200000000001</x:v>
      </x:c>
      <x:c r="N21" s="48" t="n">
        <x:f>IF(MIN(K21,L21,M21)&lt;0,"预算不足",MIN(MATCH(K21,'成本曲线'!$G$7:$G$37,1)-1,MATCH(L21,'成本曲线'!$H$7:$H$37,1)-1,MATCH(M21,'成本曲线'!$I$7:$I$37,1)-1))</x:f>
        <x:v>25</x:v>
      </x:c>
      <x:c r="O21" s="47" t="n">
        <x:f>F21*'参数'!$B$29+(C21-F21)*'参数'!$B$30+C21*'参数'!$B$31</x:f>
        <x:v>163.5</x:v>
      </x:c>
    </x:row>
    <x:row r="22" ht="25" customHeight="1">
      <x:c r="A22" s="50" t="n">
        <x:v>12</x:v>
      </x:c>
      <x:c r="B22" s="50" t="n">
        <x:f>MIN('参数'!$B$9,D21+'参数'!$B$8)+'参数'!$F$9+'参数'!M65*'参数'!$F$10</x:f>
        <x:v>300</x:v>
      </x:c>
      <x:c r="C22" s="50" t="n">
        <x:f>MIN('参数'!M51,'参数'!$B$10,INT(B22/'参数'!$F$8))</x:f>
        <x:v>30</x:v>
      </x:c>
      <x:c r="D22" s="50" t="n">
        <x:f>B22-C22*'参数'!$F$8</x:f>
        <x:v>0</x:v>
      </x:c>
      <x:c r="E22" s="51" t="n">
        <x:f>'参数'!M58</x:f>
        <x:v>0.85</x:v>
      </x:c>
      <x:c r="F22" s="52" t="n">
        <x:f>C22*E22</x:f>
        <x:v>25.5</x:v>
      </x:c>
      <x:c r="G22" s="53" t="n">
        <x:f>G21+C22</x:f>
        <x:v>360</x:v>
      </x:c>
      <x:c r="H22" s="54" t="n">
        <x:f>B45+F45</x:f>
        <x:v>75780</x:v>
      </x:c>
      <x:c r="I22" s="53" t="n">
        <x:f>MATCH(H22,'成本曲线'!$L$7:$L$36,1)</x:f>
        <x:v>28</x:v>
      </x:c>
      <x:c r="J22" s="53" t="n">
        <x:f>I22*2</x:f>
        <x:v>56</x:v>
      </x:c>
      <x:c r="K22" s="54" t="n">
        <x:f>C45+G45</x:f>
        <x:v>36701.09999999999</x:v>
      </x:c>
      <x:c r="L22" s="54" t="n">
        <x:f>D45+H45</x:f>
        <x:v>4019.400000000001</x:v>
      </x:c>
      <x:c r="M22" s="54" t="n">
        <x:f>E45+I45</x:f>
        <x:v>930.0800000000002</x:v>
      </x:c>
      <x:c r="N22" s="53" t="n">
        <x:f>IF(MIN(K22,L22,M22)&lt;0,"预算不足",MIN(MATCH(K22,'成本曲线'!$G$7:$G$37,1)-1,MATCH(L22,'成本曲线'!$H$7:$H$37,1)-1,MATCH(M22,'成本曲线'!$I$7:$I$37,1)-1))</x:f>
        <x:v>27</x:v>
      </x:c>
      <x:c r="O22" s="52" t="n">
        <x:f>F22*'参数'!$B$29+(C22-F22)*'参数'!$B$30+C22*'参数'!$B$31</x:f>
        <x:v>163.5</x:v>
      </x:c>
    </x:row>
    <x:row r="23" ht="25" customHeight="1">
      <x:c r="A23" s="45" t="n">
        <x:v>13</x:v>
      </x:c>
      <x:c r="B23" s="45" t="n">
        <x:f>MIN('参数'!$B$9,D22+'参数'!$B$8)+'参数'!$F$9+'参数'!N65*'参数'!$F$10</x:f>
        <x:v>300</x:v>
      </x:c>
      <x:c r="C23" s="45" t="n">
        <x:f>MIN('参数'!N51,'参数'!$B$10,INT(B23/'参数'!$F$8))</x:f>
        <x:v>30</x:v>
      </x:c>
      <x:c r="D23" s="45" t="n">
        <x:f>B23-C23*'参数'!$F$8</x:f>
        <x:v>0</x:v>
      </x:c>
      <x:c r="E23" s="46" t="n">
        <x:f>'参数'!N58</x:f>
        <x:v>0.85</x:v>
      </x:c>
      <x:c r="F23" s="47" t="n">
        <x:f>C23*E23</x:f>
        <x:v>25.5</x:v>
      </x:c>
      <x:c r="G23" s="48" t="n">
        <x:f>G22+C23</x:f>
        <x:v>390</x:v>
      </x:c>
      <x:c r="H23" s="49" t="n">
        <x:f>B46+F46</x:f>
        <x:v>82440</x:v>
      </x:c>
      <x:c r="I23" s="48" t="n">
        <x:f>MATCH(H23,'成本曲线'!$L$7:$L$36,1)</x:f>
        <x:v>29</x:v>
      </x:c>
      <x:c r="J23" s="48" t="n">
        <x:f>I23*2</x:f>
        <x:v>58</x:v>
      </x:c>
      <x:c r="K23" s="49" t="n">
        <x:f>C46+G46</x:f>
        <x:v>39954.79999999999</x:v>
      </x:c>
      <x:c r="L23" s="49" t="n">
        <x:f>D46+H46</x:f>
        <x:v>4375.200000000002</x:v>
      </x:c>
      <x:c r="M23" s="49" t="n">
        <x:f>E46+I46</x:f>
        <x:v>1011.4400000000002</x:v>
      </x:c>
      <x:c r="N23" s="48" t="n">
        <x:f>IF(MIN(K23,L23,M23)&lt;0,"预算不足",MIN(MATCH(K23,'成本曲线'!$G$7:$G$37,1)-1,MATCH(L23,'成本曲线'!$H$7:$H$37,1)-1,MATCH(M23,'成本曲线'!$I$7:$I$37,1)-1))</x:f>
        <x:v>28</x:v>
      </x:c>
      <x:c r="O23" s="47" t="n">
        <x:f>F23*'参数'!$B$29+(C23-F23)*'参数'!$B$30+C23*'参数'!$B$31</x:f>
        <x:v>163.5</x:v>
      </x:c>
    </x:row>
    <x:row r="24" ht="25" customHeight="1">
      <x:c r="A24" s="50" t="n">
        <x:v>14</x:v>
      </x:c>
      <x:c r="B24" s="50" t="n">
        <x:f>MIN('参数'!$B$9,D23+'参数'!$B$8)+'参数'!$F$9+'参数'!O65*'参数'!$F$10</x:f>
        <x:v>300</x:v>
      </x:c>
      <x:c r="C24" s="50" t="n">
        <x:f>MIN('参数'!O51,'参数'!$B$10,INT(B24/'参数'!$F$8))</x:f>
        <x:v>30</x:v>
      </x:c>
      <x:c r="D24" s="50" t="n">
        <x:f>B24-C24*'参数'!$F$8</x:f>
        <x:v>0</x:v>
      </x:c>
      <x:c r="E24" s="51" t="n">
        <x:f>'参数'!O58</x:f>
        <x:v>0.85</x:v>
      </x:c>
      <x:c r="F24" s="52" t="n">
        <x:f>C24*E24</x:f>
        <x:v>25.5</x:v>
      </x:c>
      <x:c r="G24" s="53" t="n">
        <x:f>G23+C24</x:f>
        <x:v>420</x:v>
      </x:c>
      <x:c r="H24" s="54" t="n">
        <x:f>B47+F47</x:f>
        <x:v>89100</x:v>
      </x:c>
      <x:c r="I24" s="53" t="n">
        <x:f>MATCH(H24,'成本曲线'!$L$7:$L$36,1)</x:f>
        <x:v>30</x:v>
      </x:c>
      <x:c r="J24" s="53" t="n">
        <x:f>I24*2</x:f>
        <x:v>60</x:v>
      </x:c>
      <x:c r="K24" s="54" t="n">
        <x:f>C47+G47</x:f>
        <x:v>43208.499999999985</x:v>
      </x:c>
      <x:c r="L24" s="54" t="n">
        <x:f>D47+H47</x:f>
        <x:v>4731.000000000002</x:v>
      </x:c>
      <x:c r="M24" s="54" t="n">
        <x:f>E47+I47</x:f>
        <x:v>1092.8</x:v>
      </x:c>
      <x:c r="N24" s="53" t="n">
        <x:f>IF(MIN(K24,L24,M24)&lt;0,"预算不足",MIN(MATCH(K24,'成本曲线'!$G$7:$G$37,1)-1,MATCH(L24,'成本曲线'!$H$7:$H$37,1)-1,MATCH(M24,'成本曲线'!$I$7:$I$37,1)-1))</x:f>
        <x:v>30</x:v>
      </x:c>
      <x:c r="O24" s="52" t="n">
        <x:f>F24*'参数'!$B$29+(C24-F24)*'参数'!$B$30+C24*'参数'!$B$31</x:f>
        <x:v>163.5</x:v>
      </x:c>
    </x:row>
    <x:row r="25" ht="25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25" customHeight="1">
      <x:c r="A26" s="36" t="str">
        <x:v>失败假设：推进60%，过程奖励80%已锁定，其余保留50%；未计仓储/雷达额外收益。</x:v>
      </x:c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25" customHeight="1">
      <x:c r="A27" s="36" t="str">
        <x:v>每日最多30次；标准每天看2次广告。初始资源只发一次，每天预留25废料。</x:v>
      </x:c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25" customHeight="1">
      <x:c r="A28" s="36" t="str">
        <x:v>累计420次有效远征触发一次性补差；明细见下表。改参数页F14可查看无保障结果。</x:v>
      </x:c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25" customHeight="1">
      <x:c r="A29" s="65" t="str">
        <x:v>按不浪费自然恢复计算；补给在体力低于140时分次领取，避免溢出暂停回体。</x:v>
      </x:c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25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25" customHeight="1">
      <x:c r="A31" s="36" t="str">
        <x:v>成长保障计算：本日补差前累计预算与一次性差额</x:v>
      </x:c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25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</x:row>
    <x:row r="33" ht="36" customHeight="1">
      <x:c r="A33" s="44" t="str">
        <x:v>第几天</x:v>
      </x:c>
      <x:c r="B33" s="44" t="str">
        <x:v>补差前XP</x:v>
      </x:c>
      <x:c r="C33" s="44" t="str">
        <x:v>补差前废料</x:v>
      </x:c>
      <x:c r="D33" s="44" t="str">
        <x:v>补差前数据</x:v>
      </x:c>
      <x:c r="E33" s="44" t="str">
        <x:v>补差前组件</x:v>
      </x:c>
      <x:c r="F33" s="44" t="str">
        <x:v>补足XP</x:v>
      </x:c>
      <x:c r="G33" s="44" t="str">
        <x:v>补足废料</x:v>
      </x:c>
      <x:c r="H33" s="44" t="str">
        <x:v>补足数据</x:v>
      </x:c>
      <x:c r="I33" s="44" t="str">
        <x:v>补足组件</x:v>
      </x:c>
      <x:c r="J33" s="36"/>
      <x:c r="K33" s="36"/>
      <x:c r="L33" s="36"/>
      <x:c r="M33" s="36"/>
      <x:c r="N33" s="36"/>
      <x:c r="O33" s="36"/>
    </x:row>
    <x:row r="34" ht="25" customHeight="1">
      <x:c r="A34" s="36" t="n">
        <x:v>1</x:v>
      </x:c>
      <x:c r="B34" s="49" t="n">
        <x:f>0+F11*('参数'!$B$17*'参数'!$B$18+'参数'!$B$19)+(C11-F11)*'参数'!$B$17*'参数'!$B$18*'参数'!$B$20</x:f>
        <x:v>5940</x:v>
      </x:c>
      <x:c r="C34" s="49" t="n">
        <x:f>'参数'!$B$13+F11*'参数'!$B$23+(C11-F11)*'参数'!$B$24*'参数'!$B$20*('参数'!$B$21+(1-'参数'!$B$21)*'参数'!$B$22)-'参数'!$B$16</x:f>
        <x:v>2945.3</x:v>
      </x:c>
      <x:c r="D34" s="49" t="n">
        <x:f>'参数'!$B$14+F11*'参数'!$B$25+(C11-F11)*'参数'!$B$26*'参数'!$B$20*('参数'!$B$21+(1-'参数'!$B$21)*'参数'!$B$22)</x:f>
        <x:v>322.2</x:v>
      </x:c>
      <x:c r="E34" s="49" t="n">
        <x:f>'参数'!$B$15+F11*'参数'!$B$27+(C11-F11)*'参数'!$B$28*'参数'!$B$20*('参数'!$B$21+(1-'参数'!$B$21)*'参数'!$B$22)</x:f>
        <x:v>89.84</x:v>
      </x:c>
      <x:c r="F34" s="49" t="n">
        <x:f>IF(AND(G11&gt;='参数'!$F$13,0&lt;'参数'!$F$13,'参数'!$F$14=1),MAX(0,'成本曲线'!$L$36-B34),0)</x:f>
        <x:v>0</x:v>
      </x:c>
      <x:c r="G34" s="49" t="n">
        <x:f>IF(AND(G11&gt;='参数'!$F$13,0&lt;'参数'!$F$13,'参数'!$F$14=1),MAX(0,'成本曲线'!$G$37-C34),0)</x:f>
        <x:v>0</x:v>
      </x:c>
      <x:c r="H34" s="49" t="n">
        <x:f>IF(AND(G11&gt;='参数'!$F$13,0&lt;'参数'!$F$13,'参数'!$F$14=1),MAX(0,'成本曲线'!$H$37-D34),0)</x:f>
        <x:v>0</x:v>
      </x:c>
      <x:c r="I34" s="49" t="n">
        <x:f>IF(AND(G11&gt;='参数'!$F$13,0&lt;'参数'!$F$13,'参数'!$F$14=1),MAX(0,'成本曲线'!$I$37-E34),0)</x:f>
        <x:v>0</x:v>
      </x:c>
      <x:c r="J34" s="36"/>
      <x:c r="K34" s="36"/>
      <x:c r="L34" s="36"/>
      <x:c r="M34" s="36"/>
      <x:c r="N34" s="36"/>
      <x:c r="O34" s="36"/>
    </x:row>
    <x:row r="35" ht="25" customHeight="1">
      <x:c r="A35" s="36" t="n">
        <x:v>2</x:v>
      </x:c>
      <x:c r="B35" s="49" t="n">
        <x:f>H11+F12*('参数'!$B$17*'参数'!$B$18+'参数'!$B$19)+(C12-F12)*'参数'!$B$17*'参数'!$B$18*'参数'!$B$20</x:f>
        <x:v>11880</x:v>
      </x:c>
      <x:c r="C35" s="49" t="n">
        <x:f>K11+F12*'参数'!$B$23+(C12-F12)*'参数'!$B$24*'参数'!$B$20*('参数'!$B$21+(1-'参数'!$B$21)*'参数'!$B$22)-'参数'!$B$16</x:f>
        <x:v>5770.6</x:v>
      </x:c>
      <x:c r="D35" s="49" t="n">
        <x:f>L11+F12*'参数'!$B$25+(C12-F12)*'参数'!$B$26*'参数'!$B$20*('参数'!$B$21+(1-'参数'!$B$21)*'参数'!$B$22)</x:f>
        <x:v>632.4000000000001</x:v>
      </x:c>
      <x:c r="E35" s="49" t="n">
        <x:f>M11+F12*'参数'!$B$27+(C12-F12)*'参数'!$B$28*'参数'!$B$20*('参数'!$B$21+(1-'参数'!$B$21)*'参数'!$B$22)</x:f>
        <x:v>159.68</x:v>
      </x:c>
      <x:c r="F35" s="49" t="n">
        <x:f>IF(AND(G12&gt;='参数'!$F$13,G11&lt;'参数'!$F$13,'参数'!$F$14=1),MAX(0,'成本曲线'!$L$36-B35),0)</x:f>
        <x:v>0</x:v>
      </x:c>
      <x:c r="G35" s="49" t="n">
        <x:f>IF(AND(G12&gt;='参数'!$F$13,G11&lt;'参数'!$F$13,'参数'!$F$14=1),MAX(0,'成本曲线'!$G$37-C35),0)</x:f>
        <x:v>0</x:v>
      </x:c>
      <x:c r="H35" s="49" t="n">
        <x:f>IF(AND(G12&gt;='参数'!$F$13,G11&lt;'参数'!$F$13,'参数'!$F$14=1),MAX(0,'成本曲线'!$H$37-D35),0)</x:f>
        <x:v>0</x:v>
      </x:c>
      <x:c r="I35" s="49" t="n">
        <x:f>IF(AND(G12&gt;='参数'!$F$13,G11&lt;'参数'!$F$13,'参数'!$F$14=1),MAX(0,'成本曲线'!$I$37-E35),0)</x:f>
        <x:v>0</x:v>
      </x:c>
      <x:c r="J35" s="36"/>
      <x:c r="K35" s="36"/>
      <x:c r="L35" s="36"/>
      <x:c r="M35" s="36"/>
      <x:c r="N35" s="36"/>
      <x:c r="O35" s="36"/>
    </x:row>
    <x:row r="36" ht="25" customHeight="1">
      <x:c r="A36" s="36" t="n">
        <x:v>3</x:v>
      </x:c>
      <x:c r="B36" s="49" t="n">
        <x:f>H12+F13*('参数'!$B$17*'参数'!$B$18+'参数'!$B$19)+(C13-F13)*'参数'!$B$17*'参数'!$B$18*'参数'!$B$20</x:f>
        <x:v>17820</x:v>
      </x:c>
      <x:c r="C36" s="49" t="n">
        <x:f>K12+F13*'参数'!$B$23+(C13-F13)*'参数'!$B$24*'参数'!$B$20*('参数'!$B$21+(1-'参数'!$B$21)*'参数'!$B$22)-'参数'!$B$16</x:f>
        <x:v>8595.9</x:v>
      </x:c>
      <x:c r="D36" s="49" t="n">
        <x:f>L12+F13*'参数'!$B$25+(C13-F13)*'参数'!$B$26*'参数'!$B$20*('参数'!$B$21+(1-'参数'!$B$21)*'参数'!$B$22)</x:f>
        <x:v>942.6000000000001</x:v>
      </x:c>
      <x:c r="E36" s="49" t="n">
        <x:f>M12+F13*'参数'!$B$27+(C13-F13)*'参数'!$B$28*'参数'!$B$20*('参数'!$B$21+(1-'参数'!$B$21)*'参数'!$B$22)</x:f>
        <x:v>229.52</x:v>
      </x:c>
      <x:c r="F36" s="49" t="n">
        <x:f>IF(AND(G13&gt;='参数'!$F$13,G12&lt;'参数'!$F$13,'参数'!$F$14=1),MAX(0,'成本曲线'!$L$36-B36),0)</x:f>
        <x:v>0</x:v>
      </x:c>
      <x:c r="G36" s="49" t="n">
        <x:f>IF(AND(G13&gt;='参数'!$F$13,G12&lt;'参数'!$F$13,'参数'!$F$14=1),MAX(0,'成本曲线'!$G$37-C36),0)</x:f>
        <x:v>0</x:v>
      </x:c>
      <x:c r="H36" s="49" t="n">
        <x:f>IF(AND(G13&gt;='参数'!$F$13,G12&lt;'参数'!$F$13,'参数'!$F$14=1),MAX(0,'成本曲线'!$H$37-D36),0)</x:f>
        <x:v>0</x:v>
      </x:c>
      <x:c r="I36" s="49" t="n">
        <x:f>IF(AND(G13&gt;='参数'!$F$13,G12&lt;'参数'!$F$13,'参数'!$F$14=1),MAX(0,'成本曲线'!$I$37-E36),0)</x:f>
        <x:v>0</x:v>
      </x:c>
      <x:c r="J36" s="36"/>
      <x:c r="K36" s="36"/>
      <x:c r="L36" s="36"/>
      <x:c r="M36" s="36"/>
      <x:c r="N36" s="36"/>
      <x:c r="O36" s="36"/>
    </x:row>
    <x:row r="37" ht="25" customHeight="1">
      <x:c r="A37" s="36" t="n">
        <x:v>4</x:v>
      </x:c>
      <x:c r="B37" s="49" t="n">
        <x:f>H13+F14*('参数'!$B$17*'参数'!$B$18+'参数'!$B$19)+(C14-F14)*'参数'!$B$17*'参数'!$B$18*'参数'!$B$20</x:f>
        <x:v>24120</x:v>
      </x:c>
      <x:c r="C37" s="49" t="n">
        <x:f>K13+F14*'参数'!$B$23+(C14-F14)*'参数'!$B$24*'参数'!$B$20*('参数'!$B$21+(1-'参数'!$B$21)*'参数'!$B$22)-'参数'!$B$16</x:f>
        <x:v>11635.4</x:v>
      </x:c>
      <x:c r="D37" s="49" t="n">
        <x:f>L13+F14*'参数'!$B$25+(C14-F14)*'参数'!$B$26*'参数'!$B$20*('参数'!$B$21+(1-'参数'!$B$21)*'参数'!$B$22)</x:f>
        <x:v>1275.6000000000001</x:v>
      </x:c>
      <x:c r="E37" s="49" t="n">
        <x:f>M13+F14*'参数'!$B$27+(C14-F14)*'参数'!$B$28*'参数'!$B$20*('参数'!$B$21+(1-'参数'!$B$21)*'参数'!$B$22)</x:f>
        <x:v>305.12</x:v>
      </x:c>
      <x:c r="F37" s="49" t="n">
        <x:f>IF(AND(G14&gt;='参数'!$F$13,G13&lt;'参数'!$F$13,'参数'!$F$14=1),MAX(0,'成本曲线'!$L$36-B37),0)</x:f>
        <x:v>0</x:v>
      </x:c>
      <x:c r="G37" s="49" t="n">
        <x:f>IF(AND(G14&gt;='参数'!$F$13,G13&lt;'参数'!$F$13,'参数'!$F$14=1),MAX(0,'成本曲线'!$G$37-C37),0)</x:f>
        <x:v>0</x:v>
      </x:c>
      <x:c r="H37" s="49" t="n">
        <x:f>IF(AND(G14&gt;='参数'!$F$13,G13&lt;'参数'!$F$13,'参数'!$F$14=1),MAX(0,'成本曲线'!$H$37-D37),0)</x:f>
        <x:v>0</x:v>
      </x:c>
      <x:c r="I37" s="49" t="n">
        <x:f>IF(AND(G14&gt;='参数'!$F$13,G13&lt;'参数'!$F$13,'参数'!$F$14=1),MAX(0,'成本曲线'!$I$37-E37),0)</x:f>
        <x:v>0</x:v>
      </x:c>
      <x:c r="J37" s="36"/>
      <x:c r="K37" s="36"/>
      <x:c r="L37" s="36"/>
      <x:c r="M37" s="36"/>
      <x:c r="N37" s="36"/>
      <x:c r="O37" s="36"/>
    </x:row>
    <x:row r="38" ht="25" customHeight="1">
      <x:c r="A38" s="36" t="n">
        <x:v>5</x:v>
      </x:c>
      <x:c r="B38" s="49" t="n">
        <x:f>H14+F15*('参数'!$B$17*'参数'!$B$18+'参数'!$B$19)+(C15-F15)*'参数'!$B$17*'参数'!$B$18*'参数'!$B$20</x:f>
        <x:v>30420</x:v>
      </x:c>
      <x:c r="C38" s="49" t="n">
        <x:f>K14+F15*'参数'!$B$23+(C15-F15)*'参数'!$B$24*'参数'!$B$20*('参数'!$B$21+(1-'参数'!$B$21)*'参数'!$B$22)-'参数'!$B$16</x:f>
        <x:v>14674.9</x:v>
      </x:c>
      <x:c r="D38" s="49" t="n">
        <x:f>L14+F15*'参数'!$B$25+(C15-F15)*'参数'!$B$26*'参数'!$B$20*('参数'!$B$21+(1-'参数'!$B$21)*'参数'!$B$22)</x:f>
        <x:v>1608.6000000000001</x:v>
      </x:c>
      <x:c r="E38" s="49" t="n">
        <x:f>M14+F15*'参数'!$B$27+(C15-F15)*'参数'!$B$28*'参数'!$B$20*('参数'!$B$21+(1-'参数'!$B$21)*'参数'!$B$22)</x:f>
        <x:v>380.72</x:v>
      </x:c>
      <x:c r="F38" s="49" t="n">
        <x:f>IF(AND(G15&gt;='参数'!$F$13,G14&lt;'参数'!$F$13,'参数'!$F$14=1),MAX(0,'成本曲线'!$L$36-B38),0)</x:f>
        <x:v>0</x:v>
      </x:c>
      <x:c r="G38" s="49" t="n">
        <x:f>IF(AND(G15&gt;='参数'!$F$13,G14&lt;'参数'!$F$13,'参数'!$F$14=1),MAX(0,'成本曲线'!$G$37-C38),0)</x:f>
        <x:v>0</x:v>
      </x:c>
      <x:c r="H38" s="49" t="n">
        <x:f>IF(AND(G15&gt;='参数'!$F$13,G14&lt;'参数'!$F$13,'参数'!$F$14=1),MAX(0,'成本曲线'!$H$37-D38),0)</x:f>
        <x:v>0</x:v>
      </x:c>
      <x:c r="I38" s="49" t="n">
        <x:f>IF(AND(G15&gt;='参数'!$F$13,G14&lt;'参数'!$F$13,'参数'!$F$14=1),MAX(0,'成本曲线'!$I$37-E38),0)</x:f>
        <x:v>0</x:v>
      </x:c>
      <x:c r="J38" s="36"/>
      <x:c r="K38" s="36"/>
      <x:c r="L38" s="36"/>
      <x:c r="M38" s="36"/>
      <x:c r="N38" s="36"/>
      <x:c r="O38" s="36"/>
    </x:row>
    <x:row r="39" ht="25" customHeight="1">
      <x:c r="A39" s="36" t="n">
        <x:v>6</x:v>
      </x:c>
      <x:c r="B39" s="49" t="n">
        <x:f>H15+F16*('参数'!$B$17*'参数'!$B$18+'参数'!$B$19)+(C16-F16)*'参数'!$B$17*'参数'!$B$18*'参数'!$B$20</x:f>
        <x:v>36720</x:v>
      </x:c>
      <x:c r="C39" s="49" t="n">
        <x:f>K15+F16*'参数'!$B$23+(C16-F16)*'参数'!$B$24*'参数'!$B$20*('参数'!$B$21+(1-'参数'!$B$21)*'参数'!$B$22)-'参数'!$B$16</x:f>
        <x:v>17714.4</x:v>
      </x:c>
      <x:c r="D39" s="49" t="n">
        <x:f>L15+F16*'参数'!$B$25+(C16-F16)*'参数'!$B$26*'参数'!$B$20*('参数'!$B$21+(1-'参数'!$B$21)*'参数'!$B$22)</x:f>
        <x:v>1941.6000000000001</x:v>
      </x:c>
      <x:c r="E39" s="49" t="n">
        <x:f>M15+F16*'参数'!$B$27+(C16-F16)*'参数'!$B$28*'参数'!$B$20*('参数'!$B$21+(1-'参数'!$B$21)*'参数'!$B$22)</x:f>
        <x:v>456.32000000000005</x:v>
      </x:c>
      <x:c r="F39" s="49" t="n">
        <x:f>IF(AND(G16&gt;='参数'!$F$13,G15&lt;'参数'!$F$13,'参数'!$F$14=1),MAX(0,'成本曲线'!$L$36-B39),0)</x:f>
        <x:v>0</x:v>
      </x:c>
      <x:c r="G39" s="49" t="n">
        <x:f>IF(AND(G16&gt;='参数'!$F$13,G15&lt;'参数'!$F$13,'参数'!$F$14=1),MAX(0,'成本曲线'!$G$37-C39),0)</x:f>
        <x:v>0</x:v>
      </x:c>
      <x:c r="H39" s="49" t="n">
        <x:f>IF(AND(G16&gt;='参数'!$F$13,G15&lt;'参数'!$F$13,'参数'!$F$14=1),MAX(0,'成本曲线'!$H$37-D39),0)</x:f>
        <x:v>0</x:v>
      </x:c>
      <x:c r="I39" s="49" t="n">
        <x:f>IF(AND(G16&gt;='参数'!$F$13,G15&lt;'参数'!$F$13,'参数'!$F$14=1),MAX(0,'成本曲线'!$I$37-E39),0)</x:f>
        <x:v>0</x:v>
      </x:c>
      <x:c r="J39" s="36"/>
      <x:c r="K39" s="36"/>
      <x:c r="L39" s="36"/>
      <x:c r="M39" s="36"/>
      <x:c r="N39" s="36"/>
      <x:c r="O39" s="36"/>
    </x:row>
    <x:row r="40" ht="25" customHeight="1">
      <x:c r="A40" s="36" t="n">
        <x:v>7</x:v>
      </x:c>
      <x:c r="B40" s="49" t="n">
        <x:f>H16+F17*('参数'!$B$17*'参数'!$B$18+'参数'!$B$19)+(C17-F17)*'参数'!$B$17*'参数'!$B$18*'参数'!$B$20</x:f>
        <x:v>43020</x:v>
      </x:c>
      <x:c r="C40" s="49" t="n">
        <x:f>K16+F17*'参数'!$B$23+(C17-F17)*'参数'!$B$24*'参数'!$B$20*('参数'!$B$21+(1-'参数'!$B$21)*'参数'!$B$22)-'参数'!$B$16</x:f>
        <x:v>20753.9</x:v>
      </x:c>
      <x:c r="D40" s="49" t="n">
        <x:f>L16+F17*'参数'!$B$25+(C17-F17)*'参数'!$B$26*'参数'!$B$20*('参数'!$B$21+(1-'参数'!$B$21)*'参数'!$B$22)</x:f>
        <x:v>2274.6000000000004</x:v>
      </x:c>
      <x:c r="E40" s="49" t="n">
        <x:f>M16+F17*'参数'!$B$27+(C17-F17)*'参数'!$B$28*'参数'!$B$20*('参数'!$B$21+(1-'参数'!$B$21)*'参数'!$B$22)</x:f>
        <x:v>531.9200000000001</x:v>
      </x:c>
      <x:c r="F40" s="49" t="n">
        <x:f>IF(AND(G17&gt;='参数'!$F$13,G16&lt;'参数'!$F$13,'参数'!$F$14=1),MAX(0,'成本曲线'!$L$36-B40),0)</x:f>
        <x:v>0</x:v>
      </x:c>
      <x:c r="G40" s="49" t="n">
        <x:f>IF(AND(G17&gt;='参数'!$F$13,G16&lt;'参数'!$F$13,'参数'!$F$14=1),MAX(0,'成本曲线'!$G$37-C40),0)</x:f>
        <x:v>0</x:v>
      </x:c>
      <x:c r="H40" s="49" t="n">
        <x:f>IF(AND(G17&gt;='参数'!$F$13,G16&lt;'参数'!$F$13,'参数'!$F$14=1),MAX(0,'成本曲线'!$H$37-D40),0)</x:f>
        <x:v>0</x:v>
      </x:c>
      <x:c r="I40" s="49" t="n">
        <x:f>IF(AND(G17&gt;='参数'!$F$13,G16&lt;'参数'!$F$13,'参数'!$F$14=1),MAX(0,'成本曲线'!$I$37-E40),0)</x:f>
        <x:v>0</x:v>
      </x:c>
      <x:c r="J40" s="36"/>
      <x:c r="K40" s="36"/>
      <x:c r="L40" s="36"/>
      <x:c r="M40" s="36"/>
      <x:c r="N40" s="36"/>
      <x:c r="O40" s="36"/>
    </x:row>
    <x:row r="41" ht="25" customHeight="1">
      <x:c r="A41" s="36" t="n">
        <x:v>8</x:v>
      </x:c>
      <x:c r="B41" s="49" t="n">
        <x:f>H17+F18*('参数'!$B$17*'参数'!$B$18+'参数'!$B$19)+(C18-F18)*'参数'!$B$17*'参数'!$B$18*'参数'!$B$20</x:f>
        <x:v>49500</x:v>
      </x:c>
      <x:c r="C41" s="49" t="n">
        <x:f>K17+F18*'参数'!$B$23+(C18-F18)*'参数'!$B$24*'参数'!$B$20*('参数'!$B$21+(1-'参数'!$B$21)*'参数'!$B$22)-'参数'!$B$16</x:f>
        <x:v>23900.5</x:v>
      </x:c>
      <x:c r="D41" s="49" t="n">
        <x:f>L17+F18*'参数'!$B$25+(C18-F18)*'参数'!$B$26*'参数'!$B$20*('参数'!$B$21+(1-'参数'!$B$21)*'参数'!$B$22)</x:f>
        <x:v>2619.0000000000005</x:v>
      </x:c>
      <x:c r="E41" s="49" t="n">
        <x:f>M17+F18*'参数'!$B$27+(C18-F18)*'参数'!$B$28*'参数'!$B$20*('参数'!$B$21+(1-'参数'!$B$21)*'参数'!$B$22)</x:f>
        <x:v>610.4000000000001</x:v>
      </x:c>
      <x:c r="F41" s="49" t="n">
        <x:f>IF(AND(G18&gt;='参数'!$F$13,G17&lt;'参数'!$F$13,'参数'!$F$14=1),MAX(0,'成本曲线'!$L$36-B41),0)</x:f>
        <x:v>0</x:v>
      </x:c>
      <x:c r="G41" s="49" t="n">
        <x:f>IF(AND(G18&gt;='参数'!$F$13,G17&lt;'参数'!$F$13,'参数'!$F$14=1),MAX(0,'成本曲线'!$G$37-C41),0)</x:f>
        <x:v>0</x:v>
      </x:c>
      <x:c r="H41" s="49" t="n">
        <x:f>IF(AND(G18&gt;='参数'!$F$13,G17&lt;'参数'!$F$13,'参数'!$F$14=1),MAX(0,'成本曲线'!$H$37-D41),0)</x:f>
        <x:v>0</x:v>
      </x:c>
      <x:c r="I41" s="49" t="n">
        <x:f>IF(AND(G18&gt;='参数'!$F$13,G17&lt;'参数'!$F$13,'参数'!$F$14=1),MAX(0,'成本曲线'!$I$37-E41),0)</x:f>
        <x:v>0</x:v>
      </x:c>
      <x:c r="J41" s="36"/>
      <x:c r="K41" s="36"/>
      <x:c r="L41" s="36"/>
      <x:c r="M41" s="36"/>
      <x:c r="N41" s="36"/>
      <x:c r="O41" s="36"/>
    </x:row>
    <x:row r="42" ht="25" customHeight="1">
      <x:c r="A42" s="36" t="n">
        <x:v>9</x:v>
      </x:c>
      <x:c r="B42" s="49" t="n">
        <x:f>H18+F19*('参数'!$B$17*'参数'!$B$18+'参数'!$B$19)+(C19-F19)*'参数'!$B$17*'参数'!$B$18*'参数'!$B$20</x:f>
        <x:v>55980</x:v>
      </x:c>
      <x:c r="C42" s="49" t="n">
        <x:f>K18+F19*'参数'!$B$23+(C19-F19)*'参数'!$B$24*'参数'!$B$20*('参数'!$B$21+(1-'参数'!$B$21)*'参数'!$B$22)-'参数'!$B$16</x:f>
        <x:v>27047.1</x:v>
      </x:c>
      <x:c r="D42" s="49" t="n">
        <x:f>L18+F19*'参数'!$B$25+(C19-F19)*'参数'!$B$26*'参数'!$B$20*('参数'!$B$21+(1-'参数'!$B$21)*'参数'!$B$22)</x:f>
        <x:v>2963.4000000000005</x:v>
      </x:c>
      <x:c r="E42" s="49" t="n">
        <x:f>M18+F19*'参数'!$B$27+(C19-F19)*'参数'!$B$28*'参数'!$B$20*('参数'!$B$21+(1-'参数'!$B$21)*'参数'!$B$22)</x:f>
        <x:v>688.8800000000001</x:v>
      </x:c>
      <x:c r="F42" s="49" t="n">
        <x:f>IF(AND(G19&gt;='参数'!$F$13,G18&lt;'参数'!$F$13,'参数'!$F$14=1),MAX(0,'成本曲线'!$L$36-B42),0)</x:f>
        <x:v>0</x:v>
      </x:c>
      <x:c r="G42" s="49" t="n">
        <x:f>IF(AND(G19&gt;='参数'!$F$13,G18&lt;'参数'!$F$13,'参数'!$F$14=1),MAX(0,'成本曲线'!$G$37-C42),0)</x:f>
        <x:v>0</x:v>
      </x:c>
      <x:c r="H42" s="49" t="n">
        <x:f>IF(AND(G19&gt;='参数'!$F$13,G18&lt;'参数'!$F$13,'参数'!$F$14=1),MAX(0,'成本曲线'!$H$37-D42),0)</x:f>
        <x:v>0</x:v>
      </x:c>
      <x:c r="I42" s="49" t="n">
        <x:f>IF(AND(G19&gt;='参数'!$F$13,G18&lt;'参数'!$F$13,'参数'!$F$14=1),MAX(0,'成本曲线'!$I$37-E42),0)</x:f>
        <x:v>0</x:v>
      </x:c>
      <x:c r="J42" s="36"/>
      <x:c r="K42" s="36"/>
      <x:c r="L42" s="36"/>
      <x:c r="M42" s="36"/>
      <x:c r="N42" s="36"/>
      <x:c r="O42" s="36"/>
    </x:row>
    <x:row r="43" ht="25" customHeight="1">
      <x:c r="A43" s="36" t="n">
        <x:v>10</x:v>
      </x:c>
      <x:c r="B43" s="49" t="n">
        <x:f>H19+F20*('参数'!$B$17*'参数'!$B$18+'参数'!$B$19)+(C20-F20)*'参数'!$B$17*'参数'!$B$18*'参数'!$B$20</x:f>
        <x:v>62460</x:v>
      </x:c>
      <x:c r="C43" s="49" t="n">
        <x:f>K19+F20*'参数'!$B$23+(C20-F20)*'参数'!$B$24*'参数'!$B$20*('参数'!$B$21+(1-'参数'!$B$21)*'参数'!$B$22)-'参数'!$B$16</x:f>
        <x:v>30193.699999999997</x:v>
      </x:c>
      <x:c r="D43" s="49" t="n">
        <x:f>L19+F20*'参数'!$B$25+(C20-F20)*'参数'!$B$26*'参数'!$B$20*('参数'!$B$21+(1-'参数'!$B$21)*'参数'!$B$22)</x:f>
        <x:v>3307.8000000000006</x:v>
      </x:c>
      <x:c r="E43" s="49" t="n">
        <x:f>M19+F20*'参数'!$B$27+(C20-F20)*'参数'!$B$28*'参数'!$B$20*('参数'!$B$21+(1-'参数'!$B$21)*'参数'!$B$22)</x:f>
        <x:v>767.3600000000001</x:v>
      </x:c>
      <x:c r="F43" s="49" t="n">
        <x:f>IF(AND(G20&gt;='参数'!$F$13,G19&lt;'参数'!$F$13,'参数'!$F$14=1),MAX(0,'成本曲线'!$L$36-B43),0)</x:f>
        <x:v>0</x:v>
      </x:c>
      <x:c r="G43" s="49" t="n">
        <x:f>IF(AND(G20&gt;='参数'!$F$13,G19&lt;'参数'!$F$13,'参数'!$F$14=1),MAX(0,'成本曲线'!$G$37-C43),0)</x:f>
        <x:v>0</x:v>
      </x:c>
      <x:c r="H43" s="49" t="n">
        <x:f>IF(AND(G20&gt;='参数'!$F$13,G19&lt;'参数'!$F$13,'参数'!$F$14=1),MAX(0,'成本曲线'!$H$37-D43),0)</x:f>
        <x:v>0</x:v>
      </x:c>
      <x:c r="I43" s="49" t="n">
        <x:f>IF(AND(G20&gt;='参数'!$F$13,G19&lt;'参数'!$F$13,'参数'!$F$14=1),MAX(0,'成本曲线'!$I$37-E43),0)</x:f>
        <x:v>0</x:v>
      </x:c>
      <x:c r="J43" s="36"/>
      <x:c r="K43" s="36"/>
      <x:c r="L43" s="36"/>
      <x:c r="M43" s="36"/>
      <x:c r="N43" s="36"/>
      <x:c r="O43" s="36"/>
    </x:row>
    <x:row r="44" ht="25" customHeight="1">
      <x:c r="A44" s="36" t="n">
        <x:v>11</x:v>
      </x:c>
      <x:c r="B44" s="49" t="n">
        <x:f>H20+F21*('参数'!$B$17*'参数'!$B$18+'参数'!$B$19)+(C21-F21)*'参数'!$B$17*'参数'!$B$18*'参数'!$B$20</x:f>
        <x:v>69120</x:v>
      </x:c>
      <x:c r="C44" s="49" t="n">
        <x:f>K20+F21*'参数'!$B$23+(C21-F21)*'参数'!$B$24*'参数'!$B$20*('参数'!$B$21+(1-'参数'!$B$21)*'参数'!$B$22)-'参数'!$B$16</x:f>
        <x:v>33447.399999999994</x:v>
      </x:c>
      <x:c r="D44" s="49" t="n">
        <x:f>L20+F21*'参数'!$B$25+(C21-F21)*'参数'!$B$26*'参数'!$B$20*('参数'!$B$21+(1-'参数'!$B$21)*'参数'!$B$22)</x:f>
        <x:v>3663.600000000001</x:v>
      </x:c>
      <x:c r="E44" s="49" t="n">
        <x:f>M20+F21*'参数'!$B$27+(C21-F21)*'参数'!$B$28*'参数'!$B$20*('参数'!$B$21+(1-'参数'!$B$21)*'参数'!$B$22)</x:f>
        <x:v>848.7200000000001</x:v>
      </x:c>
      <x:c r="F44" s="49" t="n">
        <x:f>IF(AND(G21&gt;='参数'!$F$13,G20&lt;'参数'!$F$13,'参数'!$F$14=1),MAX(0,'成本曲线'!$L$36-B44),0)</x:f>
        <x:v>0</x:v>
      </x:c>
      <x:c r="G44" s="49" t="n">
        <x:f>IF(AND(G21&gt;='参数'!$F$13,G20&lt;'参数'!$F$13,'参数'!$F$14=1),MAX(0,'成本曲线'!$G$37-C44),0)</x:f>
        <x:v>0</x:v>
      </x:c>
      <x:c r="H44" s="49" t="n">
        <x:f>IF(AND(G21&gt;='参数'!$F$13,G20&lt;'参数'!$F$13,'参数'!$F$14=1),MAX(0,'成本曲线'!$H$37-D44),0)</x:f>
        <x:v>0</x:v>
      </x:c>
      <x:c r="I44" s="49" t="n">
        <x:f>IF(AND(G21&gt;='参数'!$F$13,G20&lt;'参数'!$F$13,'参数'!$F$14=1),MAX(0,'成本曲线'!$I$37-E44),0)</x:f>
        <x:v>0</x:v>
      </x:c>
      <x:c r="J44" s="36"/>
      <x:c r="K44" s="36"/>
      <x:c r="L44" s="36"/>
      <x:c r="M44" s="36"/>
      <x:c r="N44" s="36"/>
      <x:c r="O44" s="36"/>
    </x:row>
    <x:row r="45" ht="25" customHeight="1">
      <x:c r="A45" s="36" t="n">
        <x:v>12</x:v>
      </x:c>
      <x:c r="B45" s="49" t="n">
        <x:f>H21+F22*('参数'!$B$17*'参数'!$B$18+'参数'!$B$19)+(C22-F22)*'参数'!$B$17*'参数'!$B$18*'参数'!$B$20</x:f>
        <x:v>75780</x:v>
      </x:c>
      <x:c r="C45" s="49" t="n">
        <x:f>K21+F22*'参数'!$B$23+(C22-F22)*'参数'!$B$24*'参数'!$B$20*('参数'!$B$21+(1-'参数'!$B$21)*'参数'!$B$22)-'参数'!$B$16</x:f>
        <x:v>36701.09999999999</x:v>
      </x:c>
      <x:c r="D45" s="49" t="n">
        <x:f>L21+F22*'参数'!$B$25+(C22-F22)*'参数'!$B$26*'参数'!$B$20*('参数'!$B$21+(1-'参数'!$B$21)*'参数'!$B$22)</x:f>
        <x:v>4019.400000000001</x:v>
      </x:c>
      <x:c r="E45" s="49" t="n">
        <x:f>M21+F22*'参数'!$B$27+(C22-F22)*'参数'!$B$28*'参数'!$B$20*('参数'!$B$21+(1-'参数'!$B$21)*'参数'!$B$22)</x:f>
        <x:v>930.0800000000002</x:v>
      </x:c>
      <x:c r="F45" s="49" t="n">
        <x:f>IF(AND(G22&gt;='参数'!$F$13,G21&lt;'参数'!$F$13,'参数'!$F$14=1),MAX(0,'成本曲线'!$L$36-B45),0)</x:f>
        <x:v>0</x:v>
      </x:c>
      <x:c r="G45" s="49" t="n">
        <x:f>IF(AND(G22&gt;='参数'!$F$13,G21&lt;'参数'!$F$13,'参数'!$F$14=1),MAX(0,'成本曲线'!$G$37-C45),0)</x:f>
        <x:v>0</x:v>
      </x:c>
      <x:c r="H45" s="49" t="n">
        <x:f>IF(AND(G22&gt;='参数'!$F$13,G21&lt;'参数'!$F$13,'参数'!$F$14=1),MAX(0,'成本曲线'!$H$37-D45),0)</x:f>
        <x:v>0</x:v>
      </x:c>
      <x:c r="I45" s="49" t="n">
        <x:f>IF(AND(G22&gt;='参数'!$F$13,G21&lt;'参数'!$F$13,'参数'!$F$14=1),MAX(0,'成本曲线'!$I$37-E45),0)</x:f>
        <x:v>0</x:v>
      </x:c>
      <x:c r="J45" s="36"/>
      <x:c r="K45" s="36"/>
      <x:c r="L45" s="36"/>
      <x:c r="M45" s="36"/>
      <x:c r="N45" s="36"/>
      <x:c r="O45" s="36"/>
    </x:row>
    <x:row r="46" ht="25" customHeight="1">
      <x:c r="A46" s="36" t="n">
        <x:v>13</x:v>
      </x:c>
      <x:c r="B46" s="49" t="n">
        <x:f>H22+F23*('参数'!$B$17*'参数'!$B$18+'参数'!$B$19)+(C23-F23)*'参数'!$B$17*'参数'!$B$18*'参数'!$B$20</x:f>
        <x:v>82440</x:v>
      </x:c>
      <x:c r="C46" s="49" t="n">
        <x:f>K22+F23*'参数'!$B$23+(C23-F23)*'参数'!$B$24*'参数'!$B$20*('参数'!$B$21+(1-'参数'!$B$21)*'参数'!$B$22)-'参数'!$B$16</x:f>
        <x:v>39954.79999999999</x:v>
      </x:c>
      <x:c r="D46" s="49" t="n">
        <x:f>L22+F23*'参数'!$B$25+(C23-F23)*'参数'!$B$26*'参数'!$B$20*('参数'!$B$21+(1-'参数'!$B$21)*'参数'!$B$22)</x:f>
        <x:v>4375.200000000002</x:v>
      </x:c>
      <x:c r="E46" s="49" t="n">
        <x:f>M22+F23*'参数'!$B$27+(C23-F23)*'参数'!$B$28*'参数'!$B$20*('参数'!$B$21+(1-'参数'!$B$21)*'参数'!$B$22)</x:f>
        <x:v>1011.4400000000002</x:v>
      </x:c>
      <x:c r="F46" s="49" t="n">
        <x:f>IF(AND(G23&gt;='参数'!$F$13,G22&lt;'参数'!$F$13,'参数'!$F$14=1),MAX(0,'成本曲线'!$L$36-B46),0)</x:f>
        <x:v>0</x:v>
      </x:c>
      <x:c r="G46" s="49" t="n">
        <x:f>IF(AND(G23&gt;='参数'!$F$13,G22&lt;'参数'!$F$13,'参数'!$F$14=1),MAX(0,'成本曲线'!$G$37-C46),0)</x:f>
        <x:v>0</x:v>
      </x:c>
      <x:c r="H46" s="49" t="n">
        <x:f>IF(AND(G23&gt;='参数'!$F$13,G22&lt;'参数'!$F$13,'参数'!$F$14=1),MAX(0,'成本曲线'!$H$37-D46),0)</x:f>
        <x:v>0</x:v>
      </x:c>
      <x:c r="I46" s="49" t="n">
        <x:f>IF(AND(G23&gt;='参数'!$F$13,G22&lt;'参数'!$F$13,'参数'!$F$14=1),MAX(0,'成本曲线'!$I$37-E46),0)</x:f>
        <x:v>0</x:v>
      </x:c>
      <x:c r="J46" s="36"/>
      <x:c r="K46" s="36"/>
      <x:c r="L46" s="36"/>
      <x:c r="M46" s="36"/>
      <x:c r="N46" s="36"/>
      <x:c r="O46" s="36"/>
    </x:row>
    <x:row r="47" ht="25" customHeight="1">
      <x:c r="A47" s="36" t="n">
        <x:v>14</x:v>
      </x:c>
      <x:c r="B47" s="49" t="n">
        <x:f>H23+F24*('参数'!$B$17*'参数'!$B$18+'参数'!$B$19)+(C24-F24)*'参数'!$B$17*'参数'!$B$18*'参数'!$B$20</x:f>
        <x:v>89100</x:v>
      </x:c>
      <x:c r="C47" s="49" t="n">
        <x:f>K23+F24*'参数'!$B$23+(C24-F24)*'参数'!$B$24*'参数'!$B$20*('参数'!$B$21+(1-'参数'!$B$21)*'参数'!$B$22)-'参数'!$B$16</x:f>
        <x:v>43208.499999999985</x:v>
      </x:c>
      <x:c r="D47" s="49" t="n">
        <x:f>L23+F24*'参数'!$B$25+(C24-F24)*'参数'!$B$26*'参数'!$B$20*('参数'!$B$21+(1-'参数'!$B$21)*'参数'!$B$22)</x:f>
        <x:v>4731.000000000002</x:v>
      </x:c>
      <x:c r="E47" s="49" t="n">
        <x:f>M23+F24*'参数'!$B$27+(C24-F24)*'参数'!$B$28*'参数'!$B$20*('参数'!$B$21+(1-'参数'!$B$21)*'参数'!$B$22)</x:f>
        <x:v>1092.8</x:v>
      </x:c>
      <x:c r="F47" s="49" t="n">
        <x:f>IF(AND(G24&gt;='参数'!$F$13,G23&lt;'参数'!$F$13,'参数'!$F$14=1),MAX(0,'成本曲线'!$L$36-B47),0)</x:f>
        <x:v>0</x:v>
      </x:c>
      <x:c r="G47" s="49" t="n">
        <x:f>IF(AND(G24&gt;='参数'!$F$13,G23&lt;'参数'!$F$13,'参数'!$F$14=1),MAX(0,'成本曲线'!$G$37-C47),0)</x:f>
        <x:v>0</x:v>
      </x:c>
      <x:c r="H47" s="49" t="n">
        <x:f>IF(AND(G24&gt;='参数'!$F$13,G23&lt;'参数'!$F$13,'参数'!$F$14=1),MAX(0,'成本曲线'!$H$37-D47),0)</x:f>
        <x:v>0</x:v>
      </x:c>
      <x:c r="I47" s="49" t="n">
        <x:f>IF(AND(G24&gt;='参数'!$F$13,G23&lt;'参数'!$F$13,'参数'!$F$14=1),MAX(0,'成本曲线'!$I$37-E47),0)</x:f>
        <x:v>0</x:v>
      </x:c>
      <x:c r="J47" s="36"/>
      <x:c r="K47" s="36"/>
      <x:c r="L47" s="36"/>
      <x:c r="M47" s="36"/>
      <x:c r="N47" s="36"/>
      <x:c r="O47" s="36"/>
    </x:row>
    <x:row r="48" ht="25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</x:row>
    <x:row r="49" ht="25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7798"/>
  </x:sheetPr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24" hidden="0" customWidth="1"/>
    <x:col min="4" max="4" width="10" hidden="0" customWidth="1"/>
    <x:col min="5" max="5" width="21" hidden="0" customWidth="1"/>
    <x:col min="6" max="6" width="10" hidden="0" customWidth="1"/>
    <x:col min="7" max="7" width="2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 ht="25" customHeight="1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36"/>
      <x:c r="O1" s="36"/>
    </x:row>
    <x:row r="2" ht="25" customHeight="1">
      <x:c r="A2" s="37" t="str">
        <x:v>成长模型参数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25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25" customHeight="1">
      <x:c r="A4" s="36" t="str">
        <x:v>情景编号</x:v>
      </x:c>
      <x:c r="B4" s="55" t="n">
        <x:v>1</x:v>
      </x:c>
      <x:c r="C4" s="36" t="str">
        <x:f>CHOOSE(B4,"标准","全胜","新手","不看广告","轻度")</x:f>
        <x:v>标准</x:v>
      </x:c>
      <x:c r="D4" s="36"/>
      <x:c r="E4" s="36"/>
      <x:c r="F4" s="36"/>
      <x:c r="G4" s="36"/>
      <x:c r="H4" s="36"/>
      <x:c r="I4" s="36"/>
      <x:c r="J4" s="36"/>
      <x:c r="K4" s="36"/>
      <x:c r="L4" s="36"/>
      <x:c r="M4" s="36"/>
      <x:c r="N4" s="36"/>
      <x:c r="O4" s="36"/>
    </x:row>
    <x:row r="5" ht="25" customHeight="1">
      <x:c r="A5" s="36" t="str">
        <x:v>1 标准 / 2 全胜 / 3 新手 / 4 不看广告 / 5 轻度；黄色单元格可改。</x:v>
      </x:c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25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  <x:c r="N6" s="36"/>
      <x:c r="O6" s="36"/>
    </x:row>
    <x:row r="7" ht="36" customHeight="1">
      <x:c r="A7" s="44" t="str">
        <x:v>参数</x:v>
      </x:c>
      <x:c r="B7" s="44" t="str">
        <x:v>数值</x:v>
      </x:c>
      <x:c r="C7" s="44" t="str">
        <x:v>单位 / 定义</x:v>
      </x:c>
      <x:c r="D7" s="36"/>
      <x:c r="E7" s="44" t="str">
        <x:v>体力 / 保障</x:v>
      </x:c>
      <x:c r="F7" s="44" t="str">
        <x:v>数值</x:v>
      </x:c>
      <x:c r="G7" s="44" t="str">
        <x:v>单位</x:v>
      </x:c>
      <x:c r="H7" s="36"/>
      <x:c r="I7" s="36"/>
      <x:c r="J7" s="36"/>
      <x:c r="K7" s="36"/>
      <x:c r="L7" s="36"/>
      <x:c r="M7" s="36"/>
      <x:c r="N7" s="36"/>
      <x:c r="O7" s="36"/>
    </x:row>
    <x:row r="8" ht="25" customHeight="1">
      <x:c r="A8" s="36" t="str">
        <x:v>24小时自然恢复</x:v>
      </x:c>
      <x:c r="B8" s="55" t="n">
        <x:v>180</x:v>
      </x:c>
      <x:c r="C8" s="36" t="str">
        <x:v>体力</x:v>
      </x:c>
      <x:c r="D8" s="36"/>
      <x:c r="E8" s="36" t="str">
        <x:v>每次消耗</x:v>
      </x:c>
      <x:c r="F8" s="55" t="n">
        <x:v>10</x:v>
      </x:c>
      <x:c r="G8" s="36" t="str">
        <x:v>体力</x:v>
      </x:c>
      <x:c r="H8" s="36"/>
      <x:c r="I8" s="36"/>
      <x:c r="J8" s="36"/>
      <x:c r="K8" s="36"/>
      <x:c r="L8" s="36"/>
      <x:c r="M8" s="36"/>
      <x:c r="N8" s="36"/>
      <x:c r="O8" s="36"/>
    </x:row>
    <x:row r="9" ht="25" customHeight="1">
      <x:c r="A9" s="36" t="str">
        <x:v>自然恢复上限</x:v>
      </x:c>
      <x:c r="B9" s="55" t="n">
        <x:v>180</x:v>
      </x:c>
      <x:c r="C9" s="36" t="str">
        <x:v>体力</x:v>
      </x:c>
      <x:c r="D9" s="36"/>
      <x:c r="E9" s="36" t="str">
        <x:v>免费补给一次</x:v>
      </x:c>
      <x:c r="F9" s="55" t="n">
        <x:v>40</x:v>
      </x:c>
      <x:c r="G9" s="36" t="str">
        <x:v>体力/日</x:v>
      </x:c>
      <x:c r="H9" s="36"/>
      <x:c r="I9" s="36"/>
      <x:c r="J9" s="36"/>
      <x:c r="K9" s="36"/>
      <x:c r="L9" s="36"/>
      <x:c r="M9" s="36"/>
      <x:c r="N9" s="36"/>
      <x:c r="O9" s="36"/>
    </x:row>
    <x:row r="10" ht="25" customHeight="1">
      <x:c r="A10" s="36" t="str">
        <x:v>每日出发硬上限</x:v>
      </x:c>
      <x:c r="B10" s="55" t="n">
        <x:v>30</x:v>
      </x:c>
      <x:c r="C10" s="36" t="str">
        <x:v>次/日</x:v>
      </x:c>
      <x:c r="D10" s="36"/>
      <x:c r="E10" s="36" t="str">
        <x:v>每次广告补给</x:v>
      </x:c>
      <x:c r="F10" s="55" t="n">
        <x:v>40</x:v>
      </x:c>
      <x:c r="G10" s="36" t="str">
        <x:v>体力</x:v>
      </x:c>
      <x:c r="H10" s="36"/>
      <x:c r="I10" s="36"/>
      <x:c r="J10" s="36"/>
      <x:c r="K10" s="36"/>
      <x:c r="L10" s="36"/>
      <x:c r="M10" s="36"/>
      <x:c r="N10" s="36"/>
      <x:c r="O10" s="36"/>
    </x:row>
    <x:row r="11" ht="25" customHeight="1">
      <x:c r="A11" s="36" t="str">
        <x:v>标准计划出发</x:v>
      </x:c>
      <x:c r="B11" s="55" t="n">
        <x:v>30</x:v>
      </x:c>
      <x:c r="C11" s="36" t="str">
        <x:v>次/日</x:v>
      </x:c>
      <x:c r="D11" s="36"/>
      <x:c r="E11" s="36" t="str">
        <x:v>广告领取上限</x:v>
      </x:c>
      <x:c r="F11" s="55" t="n">
        <x:v>2</x:v>
      </x:c>
      <x:c r="G11" s="36" t="str">
        <x:v>次/日</x:v>
      </x:c>
      <x:c r="H11" s="36"/>
      <x:c r="I11" s="36"/>
      <x:c r="J11" s="36"/>
      <x:c r="K11" s="36"/>
      <x:c r="L11" s="36"/>
      <x:c r="M11" s="36"/>
      <x:c r="N11" s="36"/>
      <x:c r="O11" s="36"/>
    </x:row>
    <x:row r="12" ht="25" customHeight="1">
      <x:c r="A12" s="36" t="str">
        <x:v>轻度计划出发</x:v>
      </x:c>
      <x:c r="B12" s="55" t="n">
        <x:v>15</x:v>
      </x:c>
      <x:c r="C12" s="36" t="str">
        <x:v>次/日</x:v>
      </x:c>
      <x:c r="D12" s="36"/>
      <x:c r="E12" s="36" t="str">
        <x:v>账号初始体力</x:v>
      </x:c>
      <x:c r="F12" s="55" t="n">
        <x:v>180</x:v>
      </x:c>
      <x:c r="G12" s="36" t="str">
        <x:v>体力</x:v>
      </x:c>
      <x:c r="H12" s="36"/>
      <x:c r="I12" s="36"/>
      <x:c r="J12" s="36"/>
      <x:c r="K12" s="36"/>
      <x:c r="L12" s="36"/>
      <x:c r="M12" s="36"/>
      <x:c r="N12" s="36"/>
      <x:c r="O12" s="36"/>
    </x:row>
    <x:row r="13" ht="25" customHeight="1">
      <x:c r="A13" s="36" t="str">
        <x:v>新手初始废料</x:v>
      </x:c>
      <x:c r="B13" s="55" t="n">
        <x:v>120</x:v>
      </x:c>
      <x:c r="C13" s="36" t="str">
        <x:v>一次性</x:v>
      </x:c>
      <x:c r="D13" s="36"/>
      <x:c r="E13" s="36" t="str">
        <x:v>成长保障门槛</x:v>
      </x:c>
      <x:c r="F13" s="55" t="n">
        <x:v>420</x:v>
      </x:c>
      <x:c r="G13" s="36" t="str">
        <x:v>有效远征</x:v>
      </x:c>
      <x:c r="H13" s="36"/>
      <x:c r="I13" s="36"/>
      <x:c r="J13" s="36"/>
      <x:c r="K13" s="36"/>
      <x:c r="L13" s="36"/>
      <x:c r="M13" s="36"/>
      <x:c r="N13" s="36"/>
      <x:c r="O13" s="36"/>
    </x:row>
    <x:row r="14" ht="25" customHeight="1">
      <x:c r="A14" s="36" t="str">
        <x:v>新手初始数据</x:v>
      </x:c>
      <x:c r="B14" s="55" t="n">
        <x:v>12</x:v>
      </x:c>
      <x:c r="C14" s="36" t="str">
        <x:v>一次性</x:v>
      </x:c>
      <x:c r="D14" s="36"/>
      <x:c r="E14" s="36" t="str">
        <x:v>启用成长保障</x:v>
      </x:c>
      <x:c r="F14" s="55" t="n">
        <x:v>1</x:v>
      </x:c>
      <x:c r="G14" s="36" t="str">
        <x:v>1开 / 0关</x:v>
      </x:c>
      <x:c r="H14" s="36"/>
      <x:c r="I14" s="36"/>
      <x:c r="J14" s="36"/>
      <x:c r="K14" s="36"/>
      <x:c r="L14" s="36"/>
      <x:c r="M14" s="36"/>
      <x:c r="N14" s="36"/>
      <x:c r="O14" s="36"/>
    </x:row>
    <x:row r="15" ht="25" customHeight="1">
      <x:c r="A15" s="36" t="str">
        <x:v>新手初始组件</x:v>
      </x:c>
      <x:c r="B15" s="55" t="n">
        <x:v>20</x:v>
      </x:c>
      <x:c r="C15" s="36" t="str">
        <x:v>一次性</x:v>
      </x:c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25" customHeight="1">
      <x:c r="A16" s="36" t="str">
        <x:v>非研究废料预留</x:v>
      </x:c>
      <x:c r="B16" s="55" t="n">
        <x:v>25</x:v>
      </x:c>
      <x:c r="C16" s="36" t="str">
        <x:v>每天，含改装等</x:v>
      </x:c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25" customHeight="1">
      <x:c r="A17" s="36" t="str">
        <x:v>每段列车经验</x:v>
      </x:c>
      <x:c r="B17" s="55" t="n">
        <x:v>40</x:v>
      </x:c>
      <x:c r="C17" s="36" t="str">
        <x:v>XP</x:v>
      </x:c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25" customHeight="1">
      <x:c r="A18" s="36" t="str">
        <x:v>地图路段数</x:v>
      </x:c>
      <x:c r="B18" s="55" t="n">
        <x:v>5</x:v>
      </x:c>
      <x:c r="C18" s="36" t="str">
        <x:v>段</x:v>
      </x:c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25" customHeight="1">
      <x:c r="A19" s="36" t="str">
        <x:v>通关额外经验</x:v>
      </x:c>
      <x:c r="B19" s="55" t="n">
        <x:v>40</x:v>
      </x:c>
      <x:c r="C19" s="36" t="str">
        <x:v>XP</x:v>
      </x:c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25" customHeight="1">
      <x:c r="A20" s="36" t="str">
        <x:v>失败平均推进</x:v>
      </x:c>
      <x:c r="B20" s="56" t="n">
        <x:v>0.6</x:v>
      </x:c>
      <x:c r="C20" s="36" t="str">
        <x:v>进度比例</x:v>
      </x:c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25" customHeight="1">
      <x:c r="A21" s="36" t="str">
        <x:v>失败时已锁定份额</x:v>
      </x:c>
      <x:c r="B21" s="56" t="n">
        <x:v>0.8</x:v>
      </x:c>
      <x:c r="C21" s="36" t="str">
        <x:v>已获得过程奖励中</x:v>
      </x:c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25" customHeight="1">
      <x:c r="A22" s="36" t="str">
        <x:v>未锁定资源保留</x:v>
      </x:c>
      <x:c r="B22" s="56" t="n">
        <x:v>0.5</x:v>
      </x:c>
      <x:c r="C22" s="36" t="str">
        <x:v>不含仓储</x:v>
      </x:c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25" customHeight="1">
      <x:c r="A23" s="36" t="str">
        <x:v>通关废料均值</x:v>
      </x:c>
      <x:c r="B23" s="55" t="n">
        <x:v>120</x:v>
      </x:c>
      <x:c r="C23" s="36" t="str">
        <x:v>包含过程与通关</x:v>
      </x:c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25" customHeight="1">
      <x:c r="A24" s="36" t="str">
        <x:v>全程过程废料</x:v>
      </x:c>
      <x:c r="B24" s="55" t="n">
        <x:v>90</x:v>
      </x:c>
      <x:c r="C24" s="36" t="str">
        <x:v>不含通关额外</x:v>
      </x:c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25" customHeight="1">
      <x:c r="A25" s="36" t="str">
        <x:v>通关数据均值</x:v>
      </x:c>
      <x:c r="B25" s="55" t="n">
        <x:v>13</x:v>
      </x:c>
      <x:c r="C25" s="36" t="str">
        <x:v>包含过程与通关</x:v>
      </x:c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25" customHeight="1">
      <x:c r="A26" s="36" t="str">
        <x:v>全程过程数据</x:v>
      </x:c>
      <x:c r="B26" s="55" t="n">
        <x:v>10</x:v>
      </x:c>
      <x:c r="C26" s="36" t="str">
        <x:v>不含通关额外</x:v>
      </x:c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25" customHeight="1">
      <x:c r="A27" s="36" t="str">
        <x:v>通关组件均值</x:v>
      </x:c>
      <x:c r="B27" s="55" t="n">
        <x:v>3</x:v>
      </x:c>
      <x:c r="C27" s="36" t="str">
        <x:v>包含过程与通关</x:v>
      </x:c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25" customHeight="1">
      <x:c r="A28" s="36" t="str">
        <x:v>全程过程组件</x:v>
      </x:c>
      <x:c r="B28" s="55" t="n">
        <x:v>2</x:v>
      </x:c>
      <x:c r="C28" s="36" t="str">
        <x:v>不含通关额外</x:v>
      </x:c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25" customHeight="1">
      <x:c r="A29" s="36" t="str">
        <x:v>通关战斗时间</x:v>
      </x:c>
      <x:c r="B29" s="55" t="n">
        <x:v>5</x:v>
      </x:c>
      <x:c r="C29" s="36" t="str">
        <x:v>分钟</x:v>
      </x:c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25" customHeight="1">
      <x:c r="A30" s="36" t="str">
        <x:v>失败战斗时间</x:v>
      </x:c>
      <x:c r="B30" s="55" t="n">
        <x:v>3</x:v>
      </x:c>
      <x:c r="C30" s="36" t="str">
        <x:v>分钟</x:v>
      </x:c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25" customHeight="1">
      <x:c r="A31" s="36" t="str">
        <x:v>单局操作时间</x:v>
      </x:c>
      <x:c r="B31" s="57" t="n">
        <x:v>0.75</x:v>
      </x:c>
      <x:c r="C31" s="36" t="str">
        <x:v>分钟，升级与局外</x:v>
      </x:c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25" customHeight="1">
      <x:c r="A32" s="36" t="str">
        <x:v>无人机研究数</x:v>
      </x:c>
      <x:c r="B32" s="55" t="n">
        <x:v>3</x:v>
      </x:c>
      <x:c r="C32" s="36" t="str">
        <x:v>项</x:v>
      </x:c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</x:row>
    <x:row r="33" ht="25" customHeight="1">
      <x:c r="A33" s="36" t="str">
        <x:v>列车研究数</x:v>
      </x:c>
      <x:c r="B33" s="55" t="n">
        <x:v>4</x:v>
      </x:c>
      <x:c r="C33" s="36" t="str">
        <x:v>项</x:v>
      </x:c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</x:row>
    <x:row r="34" ht="25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</x:row>
    <x:row r="35" ht="25" customHeight="1">
      <x:c r="A35" s="36" t="str">
        <x:v>首级升级经验</x:v>
      </x:c>
      <x:c r="B35" s="55" t="n">
        <x:v>150</x:v>
      </x:c>
      <x:c r="C35" s="36" t="str">
        <x:v>Lv1 到 Lv2</x:v>
      </x:c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</x:row>
    <x:row r="36" ht="25" customHeight="1">
      <x:c r="A36" s="36" t="str">
        <x:v>经验需求级差</x:v>
      </x:c>
      <x:c r="B36" s="55" t="n">
        <x:v>200</x:v>
      </x:c>
      <x:c r="C36" s="36" t="str">
        <x:v>每级</x:v>
      </x:c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</x:row>
    <x:row r="37" ht="25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</x:row>
    <x:row r="38" ht="25" customHeight="1">
      <x:c r="A38" s="36" t="str">
        <x:v>高级废料成本级差</x:v>
      </x:c>
      <x:c r="B38" s="55" t="n">
        <x:v>7</x:v>
      </x:c>
      <x:c r="C38" s="36" t="str">
        <x:v>Lv11～30</x:v>
      </x:c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</x:row>
    <x:row r="39" ht="25" customHeight="1">
      <x:c r="A39" s="36" t="str">
        <x:v>高级数据成本级差</x:v>
      </x:c>
      <x:c r="B39" s="55" t="n">
        <x:v>1.75</x:v>
      </x:c>
      <x:c r="C39" s="36" t="str">
        <x:v>Lv11～30</x:v>
      </x:c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</x:row>
    <x:row r="40" ht="25" customHeight="1">
      <x:c r="A40" s="36" t="str">
        <x:v>高级组件成本级差</x:v>
      </x:c>
      <x:c r="B40" s="58" t="n">
        <x:v>0.4</x:v>
      </x:c>
      <x:c r="C40" s="36" t="str">
        <x:v>按增量向上取整</x:v>
      </x:c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</x:row>
    <x:row r="41" ht="25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</x:row>
    <x:row r="42" ht="25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</x:row>
    <x:row r="43" ht="25" customHeight="1">
      <x:c r="A43" s="36" t="str">
        <x:v>Lv5 攻系额外组件</x:v>
      </x:c>
      <x:c r="B43" s="55" t="n">
        <x:v>1</x:v>
      </x:c>
      <x:c r="C43" s="36" t="str">
        <x:v>组件</x:v>
      </x:c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</x:row>
    <x:row r="44" ht="25" customHeight="1">
      <x:c r="A44" s="36" t="str">
        <x:v>Lv10+ 里程碑组件</x:v>
      </x:c>
      <x:c r="B44" s="55" t="n">
        <x:v>3</x:v>
      </x:c>
      <x:c r="C44" s="36" t="str">
        <x:v>每逢5级</x:v>
      </x:c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</x:row>
    <x:row r="45" ht="25" customHeight="1">
      <x:c r="A45" s="36" t="str">
        <x:v>Lv5 车系额外数据</x:v>
      </x:c>
      <x:c r="B45" s="55" t="n">
        <x:v>5</x:v>
      </x:c>
      <x:c r="C45" s="36" t="str">
        <x:v>数据</x:v>
      </x:c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</x:row>
    <x:row r="46" ht="25" customHeight="1">
      <x:c r="A46" s="36" t="str">
        <x:v>Lv10+ 里程碑数据</x:v>
      </x:c>
      <x:c r="B46" s="55" t="n">
        <x:v>15</x:v>
      </x:c>
      <x:c r="C46" s="36" t="str">
        <x:v>每逢5级</x:v>
      </x:c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</x:row>
    <x:row r="47" ht="25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</x:row>
    <x:row r="48" ht="25" customHeight="1">
      <x:c r="A48" s="59" t="str">
        <x:v>情景按天输入：出发意愿和胜率</x:v>
      </x:c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</x:row>
    <x:row r="49" ht="25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</x:row>
    <x:row r="50" ht="36" customHeight="1">
      <x:c r="A50" s="44" t="str">
        <x:v>天数</x:v>
      </x:c>
      <x:c r="B50" s="44" t="n">
        <x:v>1</x:v>
      </x:c>
      <x:c r="C50" s="44" t="n">
        <x:v>2</x:v>
      </x:c>
      <x:c r="D50" s="44" t="n">
        <x:v>3</x:v>
      </x:c>
      <x:c r="E50" s="44" t="n">
        <x:v>4</x:v>
      </x:c>
      <x:c r="F50" s="44" t="n">
        <x:v>5</x:v>
      </x:c>
      <x:c r="G50" s="44" t="n">
        <x:v>6</x:v>
      </x:c>
      <x:c r="H50" s="44" t="n">
        <x:v>7</x:v>
      </x:c>
      <x:c r="I50" s="44" t="n">
        <x:v>8</x:v>
      </x:c>
      <x:c r="J50" s="44" t="n">
        <x:v>9</x:v>
      </x:c>
      <x:c r="K50" s="44" t="n">
        <x:v>10</x:v>
      </x:c>
      <x:c r="L50" s="44" t="n">
        <x:v>11</x:v>
      </x:c>
      <x:c r="M50" s="44" t="n">
        <x:v>12</x:v>
      </x:c>
      <x:c r="N50" s="44" t="n">
        <x:v>13</x:v>
      </x:c>
      <x:c r="O50" s="44" t="n">
        <x:v>14</x:v>
      </x:c>
    </x:row>
    <x:row r="51" ht="25" customHeight="1">
      <x:c r="A51" s="60" t="str">
        <x:v>生效：计划出发</x:v>
      </x:c>
      <x:c r="B51" s="60" t="n">
        <x:f>CHOOSE($B$4,B52,B53,B54,B55,B56)</x:f>
        <x:v>30</x:v>
      </x:c>
      <x:c r="C51" s="60" t="n">
        <x:f>CHOOSE($B$4,C52,C53,C54,C55,C56)</x:f>
        <x:v>30</x:v>
      </x:c>
      <x:c r="D51" s="60" t="n">
        <x:f>CHOOSE($B$4,D52,D53,D54,D55,D56)</x:f>
        <x:v>30</x:v>
      </x:c>
      <x:c r="E51" s="60" t="n">
        <x:f>CHOOSE($B$4,E52,E53,E54,E55,E56)</x:f>
        <x:v>30</x:v>
      </x:c>
      <x:c r="F51" s="60" t="n">
        <x:f>CHOOSE($B$4,F52,F53,F54,F55,F56)</x:f>
        <x:v>30</x:v>
      </x:c>
      <x:c r="G51" s="60" t="n">
        <x:f>CHOOSE($B$4,G52,G53,G54,G55,G56)</x:f>
        <x:v>30</x:v>
      </x:c>
      <x:c r="H51" s="60" t="n">
        <x:f>CHOOSE($B$4,H52,H53,H54,H55,H56)</x:f>
        <x:v>30</x:v>
      </x:c>
      <x:c r="I51" s="60" t="n">
        <x:f>CHOOSE($B$4,I52,I53,I54,I55,I56)</x:f>
        <x:v>30</x:v>
      </x:c>
      <x:c r="J51" s="60" t="n">
        <x:f>CHOOSE($B$4,J52,J53,J54,J55,J56)</x:f>
        <x:v>30</x:v>
      </x:c>
      <x:c r="K51" s="60" t="n">
        <x:f>CHOOSE($B$4,K52,K53,K54,K55,K56)</x:f>
        <x:v>30</x:v>
      </x:c>
      <x:c r="L51" s="60" t="n">
        <x:f>CHOOSE($B$4,L52,L53,L54,L55,L56)</x:f>
        <x:v>30</x:v>
      </x:c>
      <x:c r="M51" s="60" t="n">
        <x:f>CHOOSE($B$4,M52,M53,M54,M55,M56)</x:f>
        <x:v>30</x:v>
      </x:c>
      <x:c r="N51" s="60" t="n">
        <x:f>CHOOSE($B$4,N52,N53,N54,N55,N56)</x:f>
        <x:v>30</x:v>
      </x:c>
      <x:c r="O51" s="60" t="n">
        <x:f>CHOOSE($B$4,O52,O53,O54,O55,O56)</x:f>
        <x:v>30</x:v>
      </x:c>
    </x:row>
    <x:row r="52" ht="25" customHeight="1">
      <x:c r="A52" s="36" t="str">
        <x:v>标准</x:v>
      </x:c>
      <x:c r="B52" s="36" t="n">
        <x:f>$B$11</x:f>
        <x:v>30</x:v>
      </x:c>
      <x:c r="C52" s="36" t="n">
        <x:f>$B$11</x:f>
        <x:v>30</x:v>
      </x:c>
      <x:c r="D52" s="36" t="n">
        <x:f>$B$11</x:f>
        <x:v>30</x:v>
      </x:c>
      <x:c r="E52" s="36" t="n">
        <x:f>$B$11</x:f>
        <x:v>30</x:v>
      </x:c>
      <x:c r="F52" s="36" t="n">
        <x:f>$B$11</x:f>
        <x:v>30</x:v>
      </x:c>
      <x:c r="G52" s="36" t="n">
        <x:f>$B$11</x:f>
        <x:v>30</x:v>
      </x:c>
      <x:c r="H52" s="36" t="n">
        <x:f>$B$11</x:f>
        <x:v>30</x:v>
      </x:c>
      <x:c r="I52" s="36" t="n">
        <x:f>$B$11</x:f>
        <x:v>30</x:v>
      </x:c>
      <x:c r="J52" s="36" t="n">
        <x:f>$B$11</x:f>
        <x:v>30</x:v>
      </x:c>
      <x:c r="K52" s="36" t="n">
        <x:f>$B$11</x:f>
        <x:v>30</x:v>
      </x:c>
      <x:c r="L52" s="36" t="n">
        <x:f>$B$11</x:f>
        <x:v>30</x:v>
      </x:c>
      <x:c r="M52" s="36" t="n">
        <x:f>$B$11</x:f>
        <x:v>30</x:v>
      </x:c>
      <x:c r="N52" s="36" t="n">
        <x:f>$B$11</x:f>
        <x:v>30</x:v>
      </x:c>
      <x:c r="O52" s="36" t="n">
        <x:f>$B$11</x:f>
        <x:v>30</x:v>
      </x:c>
    </x:row>
    <x:row r="53" ht="25" customHeight="1">
      <x:c r="A53" s="36" t="str">
        <x:v>全胜</x:v>
      </x:c>
      <x:c r="B53" s="36" t="n">
        <x:f>$B$11</x:f>
        <x:v>30</x:v>
      </x:c>
      <x:c r="C53" s="36" t="n">
        <x:f>$B$11</x:f>
        <x:v>30</x:v>
      </x:c>
      <x:c r="D53" s="36" t="n">
        <x:f>$B$11</x:f>
        <x:v>30</x:v>
      </x:c>
      <x:c r="E53" s="36" t="n">
        <x:f>$B$11</x:f>
        <x:v>30</x:v>
      </x:c>
      <x:c r="F53" s="36" t="n">
        <x:f>$B$11</x:f>
        <x:v>30</x:v>
      </x:c>
      <x:c r="G53" s="36" t="n">
        <x:f>$B$11</x:f>
        <x:v>30</x:v>
      </x:c>
      <x:c r="H53" s="36" t="n">
        <x:f>$B$11</x:f>
        <x:v>30</x:v>
      </x:c>
      <x:c r="I53" s="36" t="n">
        <x:f>$B$11</x:f>
        <x:v>30</x:v>
      </x:c>
      <x:c r="J53" s="36" t="n">
        <x:f>$B$11</x:f>
        <x:v>30</x:v>
      </x:c>
      <x:c r="K53" s="36" t="n">
        <x:f>$B$11</x:f>
        <x:v>30</x:v>
      </x:c>
      <x:c r="L53" s="36" t="n">
        <x:f>$B$11</x:f>
        <x:v>30</x:v>
      </x:c>
      <x:c r="M53" s="36" t="n">
        <x:f>$B$11</x:f>
        <x:v>30</x:v>
      </x:c>
      <x:c r="N53" s="36" t="n">
        <x:f>$B$11</x:f>
        <x:v>30</x:v>
      </x:c>
      <x:c r="O53" s="36" t="n">
        <x:f>$B$11</x:f>
        <x:v>30</x:v>
      </x:c>
    </x:row>
    <x:row r="54" ht="25" customHeight="1">
      <x:c r="A54" s="36" t="str">
        <x:v>新手</x:v>
      </x:c>
      <x:c r="B54" s="36" t="n">
        <x:f>$B$11</x:f>
        <x:v>30</x:v>
      </x:c>
      <x:c r="C54" s="36" t="n">
        <x:f>$B$11</x:f>
        <x:v>30</x:v>
      </x:c>
      <x:c r="D54" s="36" t="n">
        <x:f>$B$11</x:f>
        <x:v>30</x:v>
      </x:c>
      <x:c r="E54" s="36" t="n">
        <x:f>$B$11</x:f>
        <x:v>30</x:v>
      </x:c>
      <x:c r="F54" s="36" t="n">
        <x:f>$B$11</x:f>
        <x:v>30</x:v>
      </x:c>
      <x:c r="G54" s="36" t="n">
        <x:f>$B$11</x:f>
        <x:v>30</x:v>
      </x:c>
      <x:c r="H54" s="36" t="n">
        <x:f>$B$11</x:f>
        <x:v>30</x:v>
      </x:c>
      <x:c r="I54" s="36" t="n">
        <x:f>$B$11</x:f>
        <x:v>30</x:v>
      </x:c>
      <x:c r="J54" s="36" t="n">
        <x:f>$B$11</x:f>
        <x:v>30</x:v>
      </x:c>
      <x:c r="K54" s="36" t="n">
        <x:f>$B$11</x:f>
        <x:v>30</x:v>
      </x:c>
      <x:c r="L54" s="36" t="n">
        <x:f>$B$11</x:f>
        <x:v>30</x:v>
      </x:c>
      <x:c r="M54" s="36" t="n">
        <x:f>$B$11</x:f>
        <x:v>30</x:v>
      </x:c>
      <x:c r="N54" s="36" t="n">
        <x:f>$B$11</x:f>
        <x:v>30</x:v>
      </x:c>
      <x:c r="O54" s="36" t="n">
        <x:f>$B$11</x:f>
        <x:v>30</x:v>
      </x:c>
    </x:row>
    <x:row r="55" ht="25" customHeight="1">
      <x:c r="A55" s="36" t="str">
        <x:v>不看广告</x:v>
      </x:c>
      <x:c r="B55" s="36" t="n">
        <x:f>INT(($B$8+$F$9)/$F$8)</x:f>
        <x:v>22</x:v>
      </x:c>
      <x:c r="C55" s="36" t="n">
        <x:f>INT(($B$8+$F$9)/$F$8)</x:f>
        <x:v>22</x:v>
      </x:c>
      <x:c r="D55" s="36" t="n">
        <x:f>INT(($B$8+$F$9)/$F$8)</x:f>
        <x:v>22</x:v>
      </x:c>
      <x:c r="E55" s="36" t="n">
        <x:f>INT(($B$8+$F$9)/$F$8)</x:f>
        <x:v>22</x:v>
      </x:c>
      <x:c r="F55" s="36" t="n">
        <x:f>INT(($B$8+$F$9)/$F$8)</x:f>
        <x:v>22</x:v>
      </x:c>
      <x:c r="G55" s="36" t="n">
        <x:f>INT(($B$8+$F$9)/$F$8)</x:f>
        <x:v>22</x:v>
      </x:c>
      <x:c r="H55" s="36" t="n">
        <x:f>INT(($B$8+$F$9)/$F$8)</x:f>
        <x:v>22</x:v>
      </x:c>
      <x:c r="I55" s="36" t="n">
        <x:f>INT(($B$8+$F$9)/$F$8)</x:f>
        <x:v>22</x:v>
      </x:c>
      <x:c r="J55" s="36" t="n">
        <x:f>INT(($B$8+$F$9)/$F$8)</x:f>
        <x:v>22</x:v>
      </x:c>
      <x:c r="K55" s="36" t="n">
        <x:f>INT(($B$8+$F$9)/$F$8)</x:f>
        <x:v>22</x:v>
      </x:c>
      <x:c r="L55" s="36" t="n">
        <x:f>INT(($B$8+$F$9)/$F$8)</x:f>
        <x:v>22</x:v>
      </x:c>
      <x:c r="M55" s="36" t="n">
        <x:f>INT(($B$8+$F$9)/$F$8)</x:f>
        <x:v>22</x:v>
      </x:c>
      <x:c r="N55" s="36" t="n">
        <x:f>INT(($B$8+$F$9)/$F$8)</x:f>
        <x:v>22</x:v>
      </x:c>
      <x:c r="O55" s="36" t="n">
        <x:f>INT(($B$8+$F$9)/$F$8)</x:f>
        <x:v>22</x:v>
      </x:c>
    </x:row>
    <x:row r="56" ht="25" customHeight="1">
      <x:c r="A56" s="36" t="str">
        <x:v>轻度</x:v>
      </x:c>
      <x:c r="B56" s="36" t="n">
        <x:f>$B$12</x:f>
        <x:v>15</x:v>
      </x:c>
      <x:c r="C56" s="36" t="n">
        <x:f>$B$12</x:f>
        <x:v>15</x:v>
      </x:c>
      <x:c r="D56" s="36" t="n">
        <x:f>$B$12</x:f>
        <x:v>15</x:v>
      </x:c>
      <x:c r="E56" s="36" t="n">
        <x:f>$B$12</x:f>
        <x:v>15</x:v>
      </x:c>
      <x:c r="F56" s="36" t="n">
        <x:f>$B$12</x:f>
        <x:v>15</x:v>
      </x:c>
      <x:c r="G56" s="36" t="n">
        <x:f>$B$12</x:f>
        <x:v>15</x:v>
      </x:c>
      <x:c r="H56" s="36" t="n">
        <x:f>$B$12</x:f>
        <x:v>15</x:v>
      </x:c>
      <x:c r="I56" s="36" t="n">
        <x:f>$B$12</x:f>
        <x:v>15</x:v>
      </x:c>
      <x:c r="J56" s="36" t="n">
        <x:f>$B$12</x:f>
        <x:v>15</x:v>
      </x:c>
      <x:c r="K56" s="36" t="n">
        <x:f>$B$12</x:f>
        <x:v>15</x:v>
      </x:c>
      <x:c r="L56" s="36" t="n">
        <x:f>$B$12</x:f>
        <x:v>15</x:v>
      </x:c>
      <x:c r="M56" s="36" t="n">
        <x:f>$B$12</x:f>
        <x:v>15</x:v>
      </x:c>
      <x:c r="N56" s="36" t="n">
        <x:f>$B$12</x:f>
        <x:v>15</x:v>
      </x:c>
      <x:c r="O56" s="36" t="n">
        <x:f>$B$12</x:f>
        <x:v>15</x:v>
      </x:c>
    </x:row>
    <x:row r="57" ht="25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</x:row>
    <x:row r="58" ht="25" customHeight="1">
      <x:c r="A58" s="60" t="str">
        <x:v>生效：通关率</x:v>
      </x:c>
      <x:c r="B58" s="61" t="n">
        <x:f>CHOOSE($B$4,B59,B60,B61,B62,B63)</x:f>
        <x:v>0.65</x:v>
      </x:c>
      <x:c r="C58" s="61" t="n">
        <x:f>CHOOSE($B$4,C59,C60,C61,C62,C63)</x:f>
        <x:v>0.65</x:v>
      </x:c>
      <x:c r="D58" s="61" t="n">
        <x:f>CHOOSE($B$4,D59,D60,D61,D62,D63)</x:f>
        <x:v>0.65</x:v>
      </x:c>
      <x:c r="E58" s="61" t="n">
        <x:f>CHOOSE($B$4,E59,E60,E61,E62,E63)</x:f>
        <x:v>0.75</x:v>
      </x:c>
      <x:c r="F58" s="61" t="n">
        <x:f>CHOOSE($B$4,F59,F60,F61,F62,F63)</x:f>
        <x:v>0.75</x:v>
      </x:c>
      <x:c r="G58" s="61" t="n">
        <x:f>CHOOSE($B$4,G59,G60,G61,G62,G63)</x:f>
        <x:v>0.75</x:v>
      </x:c>
      <x:c r="H58" s="61" t="n">
        <x:f>CHOOSE($B$4,H59,H60,H61,H62,H63)</x:f>
        <x:v>0.75</x:v>
      </x:c>
      <x:c r="I58" s="61" t="n">
        <x:f>CHOOSE($B$4,I59,I60,I61,I62,I63)</x:f>
        <x:v>0.8</x:v>
      </x:c>
      <x:c r="J58" s="61" t="n">
        <x:f>CHOOSE($B$4,J59,J60,J61,J62,J63)</x:f>
        <x:v>0.8</x:v>
      </x:c>
      <x:c r="K58" s="61" t="n">
        <x:f>CHOOSE($B$4,K59,K60,K61,K62,K63)</x:f>
        <x:v>0.8</x:v>
      </x:c>
      <x:c r="L58" s="61" t="n">
        <x:f>CHOOSE($B$4,L59,L60,L61,L62,L63)</x:f>
        <x:v>0.85</x:v>
      </x:c>
      <x:c r="M58" s="61" t="n">
        <x:f>CHOOSE($B$4,M59,M60,M61,M62,M63)</x:f>
        <x:v>0.85</x:v>
      </x:c>
      <x:c r="N58" s="61" t="n">
        <x:f>CHOOSE($B$4,N59,N60,N61,N62,N63)</x:f>
        <x:v>0.85</x:v>
      </x:c>
      <x:c r="O58" s="61" t="n">
        <x:f>CHOOSE($B$4,O59,O60,O61,O62,O63)</x:f>
        <x:v>0.85</x:v>
      </x:c>
    </x:row>
    <x:row r="59" ht="25" customHeight="1">
      <x:c r="A59" s="36" t="str">
        <x:v>标准</x:v>
      </x:c>
      <x:c r="B59" s="56" t="n">
        <x:v>0.65</x:v>
      </x:c>
      <x:c r="C59" s="56" t="n">
        <x:v>0.65</x:v>
      </x:c>
      <x:c r="D59" s="56" t="n">
        <x:v>0.65</x:v>
      </x:c>
      <x:c r="E59" s="56" t="n">
        <x:v>0.75</x:v>
      </x:c>
      <x:c r="F59" s="56" t="n">
        <x:v>0.75</x:v>
      </x:c>
      <x:c r="G59" s="56" t="n">
        <x:v>0.75</x:v>
      </x:c>
      <x:c r="H59" s="56" t="n">
        <x:v>0.75</x:v>
      </x:c>
      <x:c r="I59" s="56" t="n">
        <x:v>0.8</x:v>
      </x:c>
      <x:c r="J59" s="56" t="n">
        <x:v>0.8</x:v>
      </x:c>
      <x:c r="K59" s="56" t="n">
        <x:v>0.8</x:v>
      </x:c>
      <x:c r="L59" s="56" t="n">
        <x:v>0.85</x:v>
      </x:c>
      <x:c r="M59" s="56" t="n">
        <x:v>0.85</x:v>
      </x:c>
      <x:c r="N59" s="56" t="n">
        <x:v>0.85</x:v>
      </x:c>
      <x:c r="O59" s="56" t="n">
        <x:v>0.85</x:v>
      </x:c>
    </x:row>
    <x:row r="60" ht="25" customHeight="1">
      <x:c r="A60" s="36" t="str">
        <x:v>全胜</x:v>
      </x:c>
      <x:c r="B60" s="56" t="n">
        <x:v>1</x:v>
      </x:c>
      <x:c r="C60" s="56" t="n">
        <x:v>1</x:v>
      </x:c>
      <x:c r="D60" s="56" t="n">
        <x:v>1</x:v>
      </x:c>
      <x:c r="E60" s="56" t="n">
        <x:v>1</x:v>
      </x:c>
      <x:c r="F60" s="56" t="n">
        <x:v>1</x:v>
      </x:c>
      <x:c r="G60" s="56" t="n">
        <x:v>1</x:v>
      </x:c>
      <x:c r="H60" s="56" t="n">
        <x:v>1</x:v>
      </x:c>
      <x:c r="I60" s="56" t="n">
        <x:v>1</x:v>
      </x:c>
      <x:c r="J60" s="56" t="n">
        <x:v>1</x:v>
      </x:c>
      <x:c r="K60" s="56" t="n">
        <x:v>1</x:v>
      </x:c>
      <x:c r="L60" s="56" t="n">
        <x:v>1</x:v>
      </x:c>
      <x:c r="M60" s="56" t="n">
        <x:v>1</x:v>
      </x:c>
      <x:c r="N60" s="56" t="n">
        <x:v>1</x:v>
      </x:c>
      <x:c r="O60" s="56" t="n">
        <x:v>1</x:v>
      </x:c>
    </x:row>
    <x:row r="61" ht="25" customHeight="1">
      <x:c r="A61" s="36" t="str">
        <x:v>新手</x:v>
      </x:c>
      <x:c r="B61" s="56" t="n">
        <x:v>0.5</x:v>
      </x:c>
      <x:c r="C61" s="56" t="n">
        <x:v>0.5</x:v>
      </x:c>
      <x:c r="D61" s="56" t="n">
        <x:v>0.5</x:v>
      </x:c>
      <x:c r="E61" s="56" t="n">
        <x:v>0.5</x:v>
      </x:c>
      <x:c r="F61" s="56" t="n">
        <x:v>0.5</x:v>
      </x:c>
      <x:c r="G61" s="56" t="n">
        <x:v>0.5</x:v>
      </x:c>
      <x:c r="H61" s="56" t="n">
        <x:v>0.5</x:v>
      </x:c>
      <x:c r="I61" s="56" t="n">
        <x:v>0.5</x:v>
      </x:c>
      <x:c r="J61" s="56" t="n">
        <x:v>0.5</x:v>
      </x:c>
      <x:c r="K61" s="56" t="n">
        <x:v>0.5</x:v>
      </x:c>
      <x:c r="L61" s="56" t="n">
        <x:v>0.5</x:v>
      </x:c>
      <x:c r="M61" s="56" t="n">
        <x:v>0.5</x:v>
      </x:c>
      <x:c r="N61" s="56" t="n">
        <x:v>0.5</x:v>
      </x:c>
      <x:c r="O61" s="56" t="n">
        <x:v>0.5</x:v>
      </x:c>
    </x:row>
    <x:row r="62" ht="25" customHeight="1">
      <x:c r="A62" s="36" t="str">
        <x:v>不看广告</x:v>
      </x:c>
      <x:c r="B62" s="46" t="n">
        <x:f>B59</x:f>
        <x:v>0.65</x:v>
      </x:c>
      <x:c r="C62" s="46" t="n">
        <x:f>C59</x:f>
        <x:v>0.65</x:v>
      </x:c>
      <x:c r="D62" s="46" t="n">
        <x:f>D59</x:f>
        <x:v>0.65</x:v>
      </x:c>
      <x:c r="E62" s="46" t="n">
        <x:f>E59</x:f>
        <x:v>0.75</x:v>
      </x:c>
      <x:c r="F62" s="46" t="n">
        <x:f>F59</x:f>
        <x:v>0.75</x:v>
      </x:c>
      <x:c r="G62" s="46" t="n">
        <x:f>G59</x:f>
        <x:v>0.75</x:v>
      </x:c>
      <x:c r="H62" s="46" t="n">
        <x:f>H59</x:f>
        <x:v>0.75</x:v>
      </x:c>
      <x:c r="I62" s="46" t="n">
        <x:f>I59</x:f>
        <x:v>0.8</x:v>
      </x:c>
      <x:c r="J62" s="46" t="n">
        <x:f>J59</x:f>
        <x:v>0.8</x:v>
      </x:c>
      <x:c r="K62" s="46" t="n">
        <x:f>K59</x:f>
        <x:v>0.8</x:v>
      </x:c>
      <x:c r="L62" s="46" t="n">
        <x:f>L59</x:f>
        <x:v>0.85</x:v>
      </x:c>
      <x:c r="M62" s="46" t="n">
        <x:f>M59</x:f>
        <x:v>0.85</x:v>
      </x:c>
      <x:c r="N62" s="46" t="n">
        <x:f>N59</x:f>
        <x:v>0.85</x:v>
      </x:c>
      <x:c r="O62" s="46" t="n">
        <x:f>O59</x:f>
        <x:v>0.85</x:v>
      </x:c>
    </x:row>
    <x:row r="63" ht="25" customHeight="1">
      <x:c r="A63" s="36" t="str">
        <x:v>轻度</x:v>
      </x:c>
      <x:c r="B63" s="46" t="n">
        <x:f>B59</x:f>
        <x:v>0.65</x:v>
      </x:c>
      <x:c r="C63" s="46" t="n">
        <x:f>C59</x:f>
        <x:v>0.65</x:v>
      </x:c>
      <x:c r="D63" s="46" t="n">
        <x:f>D59</x:f>
        <x:v>0.65</x:v>
      </x:c>
      <x:c r="E63" s="46" t="n">
        <x:f>E59</x:f>
        <x:v>0.75</x:v>
      </x:c>
      <x:c r="F63" s="46" t="n">
        <x:f>F59</x:f>
        <x:v>0.75</x:v>
      </x:c>
      <x:c r="G63" s="46" t="n">
        <x:f>G59</x:f>
        <x:v>0.75</x:v>
      </x:c>
      <x:c r="H63" s="46" t="n">
        <x:f>H59</x:f>
        <x:v>0.75</x:v>
      </x:c>
      <x:c r="I63" s="46" t="n">
        <x:f>I59</x:f>
        <x:v>0.8</x:v>
      </x:c>
      <x:c r="J63" s="46" t="n">
        <x:f>J59</x:f>
        <x:v>0.8</x:v>
      </x:c>
      <x:c r="K63" s="46" t="n">
        <x:f>K59</x:f>
        <x:v>0.8</x:v>
      </x:c>
      <x:c r="L63" s="46" t="n">
        <x:f>L59</x:f>
        <x:v>0.85</x:v>
      </x:c>
      <x:c r="M63" s="46" t="n">
        <x:f>M59</x:f>
        <x:v>0.85</x:v>
      </x:c>
      <x:c r="N63" s="46" t="n">
        <x:f>N59</x:f>
        <x:v>0.85</x:v>
      </x:c>
      <x:c r="O63" s="46" t="n">
        <x:f>O59</x:f>
        <x:v>0.85</x:v>
      </x:c>
    </x:row>
    <x:row r="64" ht="25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</x:row>
    <x:row r="65" ht="25" customHeight="1">
      <x:c r="A65" s="36" t="str">
        <x:v>生效：广告次数</x:v>
      </x:c>
      <x:c r="B65" s="36" t="n">
        <x:f>IF($B$4&lt;=3,$F$11,0)</x:f>
        <x:v>2</x:v>
      </x:c>
      <x:c r="C65" s="36" t="n">
        <x:f>IF($B$4&lt;=3,$F$11,0)</x:f>
        <x:v>2</x:v>
      </x:c>
      <x:c r="D65" s="36" t="n">
        <x:f>IF($B$4&lt;=3,$F$11,0)</x:f>
        <x:v>2</x:v>
      </x:c>
      <x:c r="E65" s="36" t="n">
        <x:f>IF($B$4&lt;=3,$F$11,0)</x:f>
        <x:v>2</x:v>
      </x:c>
      <x:c r="F65" s="36" t="n">
        <x:f>IF($B$4&lt;=3,$F$11,0)</x:f>
        <x:v>2</x:v>
      </x:c>
      <x:c r="G65" s="36" t="n">
        <x:f>IF($B$4&lt;=3,$F$11,0)</x:f>
        <x:v>2</x:v>
      </x:c>
      <x:c r="H65" s="36" t="n">
        <x:f>IF($B$4&lt;=3,$F$11,0)</x:f>
        <x:v>2</x:v>
      </x:c>
      <x:c r="I65" s="36" t="n">
        <x:f>IF($B$4&lt;=3,$F$11,0)</x:f>
        <x:v>2</x:v>
      </x:c>
      <x:c r="J65" s="36" t="n">
        <x:f>IF($B$4&lt;=3,$F$11,0)</x:f>
        <x:v>2</x:v>
      </x:c>
      <x:c r="K65" s="36" t="n">
        <x:f>IF($B$4&lt;=3,$F$11,0)</x:f>
        <x:v>2</x:v>
      </x:c>
      <x:c r="L65" s="36" t="n">
        <x:f>IF($B$4&lt;=3,$F$11,0)</x:f>
        <x:v>2</x:v>
      </x:c>
      <x:c r="M65" s="36" t="n">
        <x:f>IF($B$4&lt;=3,$F$11,0)</x:f>
        <x:v>2</x:v>
      </x:c>
      <x:c r="N65" s="36" t="n">
        <x:f>IF($B$4&lt;=3,$F$11,0)</x:f>
        <x:v>2</x:v>
      </x:c>
      <x:c r="O65" s="36" t="n">
        <x:f>IF($B$4&lt;=3,$F$11,0)</x:f>
        <x:v>2</x:v>
      </x:c>
    </x:row>
    <x:row r="66" ht="25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</x:row>
    <x:row r="67" ht="25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</x:row>
    <x:row r="68" ht="25" customHeight="1">
      <x:c r="A68" s="36" t="str">
        <x:v>来源：需求v1.1。胜率为设计假设；420次均按有效远征计。</x:v>
      </x:c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</x:row>
    <x:row r="69" ht="25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</x:row>
  </x:sheetData>
  <x:dataValidations count="2">
    <x:dataValidation type="whole" operator="between" sqref="B4">
      <x:formula1>1</x:formula1>
      <x:formula2>5</x:formula2>
    </x:dataValidation>
    <x:dataValidation type="whole" operator="between" sqref="F14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BAC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3" hidden="0" customWidth="1"/>
    <x:col min="12" max="12" width="15" hidden="0" customWidth="1"/>
    <x:col min="13" max="13" width="15" hidden="0" customWidth="1"/>
  </x:cols>
  <x:sheetData>
    <x:row r="1" ht="25" customHeight="1">
      <x:c r="A1" s="36"/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  <x:c r="M1" s="36"/>
      <x:c r="N1" s="62"/>
      <x:c r="O1" s="62"/>
    </x:row>
    <x:row r="2" ht="25" customHeight="1">
      <x:c r="A2" s="37" t="str">
        <x:v>研究成本与列车经验曲线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62"/>
      <x:c r="O2" s="62"/>
    </x:row>
    <x:row r="3" ht="25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63"/>
      <x:c r="O3" s="63"/>
    </x:row>
    <x:row r="4" ht="25" customHeight="1">
      <x:c r="A4" s="36" t="str">
        <x:v>当前情景</x:v>
      </x:c>
      <x:c r="B4" s="39" t="str">
        <x:f>'参数'!C4</x:f>
        <x:v>标准</x:v>
      </x:c>
      <x:c r="C4" s="40"/>
      <x:c r="D4" s="41"/>
      <x:c r="E4" s="36"/>
      <x:c r="F4" s="36"/>
      <x:c r="G4" s="36"/>
      <x:c r="H4" s="36"/>
      <x:c r="I4" s="36"/>
      <x:c r="J4" s="36"/>
      <x:c r="K4" s="36"/>
      <x:c r="L4" s="36"/>
      <x:c r="M4" s="36"/>
      <x:c r="N4" s="62"/>
      <x:c r="O4" s="62"/>
    </x:row>
    <x:row r="5" ht="25" customHeight="1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62"/>
      <x:c r="O5" s="62"/>
    </x:row>
    <x:row r="6" ht="36" customHeight="1">
      <x:c r="A6" s="44" t="str">
        <x:v>研究Lv</x:v>
      </x:c>
      <x:c r="B6" s="44" t="str">
        <x:v>单项废料</x:v>
      </x:c>
      <x:c r="C6" s="44" t="str">
        <x:v>攻系数据</x:v>
      </x:c>
      <x:c r="D6" s="44" t="str">
        <x:v>车系组件</x:v>
      </x:c>
      <x:c r="E6" s="44" t="str">
        <x:v>攻系附组件</x:v>
      </x:c>
      <x:c r="F6" s="44" t="str">
        <x:v>车系附数据</x:v>
      </x:c>
      <x:c r="G6" s="44" t="str">
        <x:v>七项累计废料</x:v>
      </x:c>
      <x:c r="H6" s="44" t="str">
        <x:v>七项累计数据</x:v>
      </x:c>
      <x:c r="I6" s="44" t="str">
        <x:v>七项累计组件</x:v>
      </x:c>
      <x:c r="J6" s="36"/>
      <x:c r="K6" s="44" t="str">
        <x:v>列车Lv</x:v>
      </x:c>
      <x:c r="L6" s="44" t="str">
        <x:v>累计XP</x:v>
      </x:c>
      <x:c r="M6" s="44" t="str">
        <x:v>升下级XP</x:v>
      </x:c>
      <x:c r="N6" s="62"/>
      <x:c r="O6" s="62"/>
    </x:row>
    <x:row r="7" ht="25" customHeight="1">
      <x:c r="A7" s="48" t="n">
        <x:v>0</x:v>
      </x:c>
      <x:c r="B7" s="48" t="n">
        <x:v>0</x:v>
      </x:c>
      <x:c r="C7" s="48" t="n">
        <x:v>0</x:v>
      </x:c>
      <x:c r="D7" s="48" t="n">
        <x:v>0</x:v>
      </x:c>
      <x:c r="E7" s="48" t="n">
        <x:v>0</x:v>
      </x:c>
      <x:c r="F7" s="48" t="n">
        <x:v>0</x:v>
      </x:c>
      <x:c r="G7" s="48" t="n">
        <x:v>0</x:v>
      </x:c>
      <x:c r="H7" s="48" t="n">
        <x:v>0</x:v>
      </x:c>
      <x:c r="I7" s="48" t="n">
        <x:v>0</x:v>
      </x:c>
      <x:c r="J7" s="36"/>
      <x:c r="K7" s="48" t="n">
        <x:v>1</x:v>
      </x:c>
      <x:c r="L7" s="48" t="n">
        <x:f>0</x:f>
        <x:v>0</x:v>
      </x:c>
      <x:c r="M7" s="48" t="n">
        <x:f>'参数'!$B$35+'参数'!$B$36*(K7-1)</x:f>
        <x:v>150</x:v>
      </x:c>
      <x:c r="N7" s="62"/>
      <x:c r="O7" s="62"/>
    </x:row>
    <x:row r="8" ht="25" customHeight="1">
      <x:c r="A8" s="48" t="n">
        <x:v>1</x:v>
      </x:c>
      <x:c r="B8" s="64" t="n">
        <x:v>25</x:v>
      </x:c>
      <x:c r="C8" s="64" t="n">
        <x:v>3</x:v>
      </x:c>
      <x:c r="D8" s="64" t="n">
        <x:v>1</x:v>
      </x:c>
      <x:c r="E8" s="48" t="n">
        <x:f>IF(A8=5,'参数'!$B$43,IF(AND(A8&gt;=10,MOD(A8,5)=0),'参数'!$B$44,0))</x:f>
        <x:v>0</x:v>
      </x:c>
      <x:c r="F8" s="48" t="n">
        <x:f>IF(A8=5,'参数'!$B$45,IF(AND(A8&gt;=10,MOD(A8,5)=0),'参数'!$B$46,0))</x:f>
        <x:v>0</x:v>
      </x:c>
      <x:c r="G8" s="48" t="n">
        <x:f>G7+B8*('参数'!$B$32+'参数'!$B$33)</x:f>
        <x:v>175</x:v>
      </x:c>
      <x:c r="H8" s="48" t="n">
        <x:f>H7+C8*'参数'!$B$32+F8*'参数'!$B$33</x:f>
        <x:v>9</x:v>
      </x:c>
      <x:c r="I8" s="48" t="n">
        <x:f>I7+D8*'参数'!$B$33+E8*'参数'!$B$32</x:f>
        <x:v>4</x:v>
      </x:c>
      <x:c r="J8" s="36"/>
      <x:c r="K8" s="48" t="n">
        <x:v>2</x:v>
      </x:c>
      <x:c r="L8" s="48" t="n">
        <x:f>L7+M7</x:f>
        <x:v>150</x:v>
      </x:c>
      <x:c r="M8" s="48" t="n">
        <x:f>'参数'!$B$35+'参数'!$B$36*(K8-1)</x:f>
        <x:v>350</x:v>
      </x:c>
      <x:c r="N8" s="62"/>
      <x:c r="O8" s="62"/>
    </x:row>
    <x:row r="9" ht="25" customHeight="1">
      <x:c r="A9" s="48" t="n">
        <x:v>2</x:v>
      </x:c>
      <x:c r="B9" s="64" t="n">
        <x:v>30</x:v>
      </x:c>
      <x:c r="C9" s="64" t="n">
        <x:v>4</x:v>
      </x:c>
      <x:c r="D9" s="64" t="n">
        <x:v>1</x:v>
      </x:c>
      <x:c r="E9" s="48" t="n">
        <x:f>IF(A9=5,'参数'!$B$43,IF(AND(A9&gt;=10,MOD(A9,5)=0),'参数'!$B$44,0))</x:f>
        <x:v>0</x:v>
      </x:c>
      <x:c r="F9" s="48" t="n">
        <x:f>IF(A9=5,'参数'!$B$45,IF(AND(A9&gt;=10,MOD(A9,5)=0),'参数'!$B$46,0))</x:f>
        <x:v>0</x:v>
      </x:c>
      <x:c r="G9" s="48" t="n">
        <x:f>G8+B9*('参数'!$B$32+'参数'!$B$33)</x:f>
        <x:v>385</x:v>
      </x:c>
      <x:c r="H9" s="48" t="n">
        <x:f>H8+C9*'参数'!$B$32+F9*'参数'!$B$33</x:f>
        <x:v>21</x:v>
      </x:c>
      <x:c r="I9" s="48" t="n">
        <x:f>I8+D9*'参数'!$B$33+E9*'参数'!$B$32</x:f>
        <x:v>8</x:v>
      </x:c>
      <x:c r="J9" s="36"/>
      <x:c r="K9" s="48" t="n">
        <x:v>3</x:v>
      </x:c>
      <x:c r="L9" s="48" t="n">
        <x:f>L8+M8</x:f>
        <x:v>500</x:v>
      </x:c>
      <x:c r="M9" s="48" t="n">
        <x:f>'参数'!$B$35+'参数'!$B$36*(K9-1)</x:f>
        <x:v>550</x:v>
      </x:c>
      <x:c r="N9" s="62"/>
      <x:c r="O9" s="62"/>
    </x:row>
    <x:row r="10" ht="25" customHeight="1">
      <x:c r="A10" s="48" t="n">
        <x:v>3</x:v>
      </x:c>
      <x:c r="B10" s="64" t="n">
        <x:v>40</x:v>
      </x:c>
      <x:c r="C10" s="64" t="n">
        <x:v>6</x:v>
      </x:c>
      <x:c r="D10" s="64" t="n">
        <x:v>1</x:v>
      </x:c>
      <x:c r="E10" s="48" t="n">
        <x:f>IF(A10=5,'参数'!$B$43,IF(AND(A10&gt;=10,MOD(A10,5)=0),'参数'!$B$44,0))</x:f>
        <x:v>0</x:v>
      </x:c>
      <x:c r="F10" s="48" t="n">
        <x:f>IF(A10=5,'参数'!$B$45,IF(AND(A10&gt;=10,MOD(A10,5)=0),'参数'!$B$46,0))</x:f>
        <x:v>0</x:v>
      </x:c>
      <x:c r="G10" s="48" t="n">
        <x:f>G9+B10*('参数'!$B$32+'参数'!$B$33)</x:f>
        <x:v>665</x:v>
      </x:c>
      <x:c r="H10" s="48" t="n">
        <x:f>H9+C10*'参数'!$B$32+F10*'参数'!$B$33</x:f>
        <x:v>39</x:v>
      </x:c>
      <x:c r="I10" s="48" t="n">
        <x:f>I9+D10*'参数'!$B$33+E10*'参数'!$B$32</x:f>
        <x:v>12</x:v>
      </x:c>
      <x:c r="J10" s="36"/>
      <x:c r="K10" s="48" t="n">
        <x:v>4</x:v>
      </x:c>
      <x:c r="L10" s="48" t="n">
        <x:f>L9+M9</x:f>
        <x:v>1050</x:v>
      </x:c>
      <x:c r="M10" s="48" t="n">
        <x:f>'参数'!$B$35+'参数'!$B$36*(K10-1)</x:f>
        <x:v>750</x:v>
      </x:c>
      <x:c r="N10" s="62"/>
      <x:c r="O10" s="62"/>
    </x:row>
    <x:row r="11" ht="25" customHeight="1">
      <x:c r="A11" s="48" t="n">
        <x:v>4</x:v>
      </x:c>
      <x:c r="B11" s="64" t="n">
        <x:v>50</x:v>
      </x:c>
      <x:c r="C11" s="64" t="n">
        <x:v>8</x:v>
      </x:c>
      <x:c r="D11" s="64" t="n">
        <x:v>1</x:v>
      </x:c>
      <x:c r="E11" s="48" t="n">
        <x:f>IF(A11=5,'参数'!$B$43,IF(AND(A11&gt;=10,MOD(A11,5)=0),'参数'!$B$44,0))</x:f>
        <x:v>0</x:v>
      </x:c>
      <x:c r="F11" s="48" t="n">
        <x:f>IF(A11=5,'参数'!$B$45,IF(AND(A11&gt;=10,MOD(A11,5)=0),'参数'!$B$46,0))</x:f>
        <x:v>0</x:v>
      </x:c>
      <x:c r="G11" s="48" t="n">
        <x:f>G10+B11*('参数'!$B$32+'参数'!$B$33)</x:f>
        <x:v>1015</x:v>
      </x:c>
      <x:c r="H11" s="48" t="n">
        <x:f>H10+C11*'参数'!$B$32+F11*'参数'!$B$33</x:f>
        <x:v>63</x:v>
      </x:c>
      <x:c r="I11" s="48" t="n">
        <x:f>I10+D11*'参数'!$B$33+E11*'参数'!$B$32</x:f>
        <x:v>16</x:v>
      </x:c>
      <x:c r="J11" s="36"/>
      <x:c r="K11" s="48" t="n">
        <x:v>5</x:v>
      </x:c>
      <x:c r="L11" s="48" t="n">
        <x:f>L10+M10</x:f>
        <x:v>1800</x:v>
      </x:c>
      <x:c r="M11" s="48" t="n">
        <x:f>'参数'!$B$35+'参数'!$B$36*(K11-1)</x:f>
        <x:v>950</x:v>
      </x:c>
      <x:c r="N11" s="62"/>
      <x:c r="O11" s="62"/>
    </x:row>
    <x:row r="12" ht="25" customHeight="1">
      <x:c r="A12" s="48" t="n">
        <x:v>5</x:v>
      </x:c>
      <x:c r="B12" s="64" t="n">
        <x:v>65</x:v>
      </x:c>
      <x:c r="C12" s="64" t="n">
        <x:v>11</x:v>
      </x:c>
      <x:c r="D12" s="64" t="n">
        <x:v>2</x:v>
      </x:c>
      <x:c r="E12" s="48" t="n">
        <x:f>IF(A12=5,'参数'!$B$43,IF(AND(A12&gt;=10,MOD(A12,5)=0),'参数'!$B$44,0))</x:f>
        <x:v>1</x:v>
      </x:c>
      <x:c r="F12" s="48" t="n">
        <x:f>IF(A12=5,'参数'!$B$45,IF(AND(A12&gt;=10,MOD(A12,5)=0),'参数'!$B$46,0))</x:f>
        <x:v>5</x:v>
      </x:c>
      <x:c r="G12" s="48" t="n">
        <x:f>G11+B12*('参数'!$B$32+'参数'!$B$33)</x:f>
        <x:v>1470</x:v>
      </x:c>
      <x:c r="H12" s="48" t="n">
        <x:f>H11+C12*'参数'!$B$32+F12*'参数'!$B$33</x:f>
        <x:v>116</x:v>
      </x:c>
      <x:c r="I12" s="48" t="n">
        <x:f>I11+D12*'参数'!$B$33+E12*'参数'!$B$32</x:f>
        <x:v>27</x:v>
      </x:c>
      <x:c r="J12" s="36"/>
      <x:c r="K12" s="48" t="n">
        <x:v>6</x:v>
      </x:c>
      <x:c r="L12" s="48" t="n">
        <x:f>L11+M11</x:f>
        <x:v>2750</x:v>
      </x:c>
      <x:c r="M12" s="48" t="n">
        <x:f>'参数'!$B$35+'参数'!$B$36*(K12-1)</x:f>
        <x:v>1150</x:v>
      </x:c>
      <x:c r="N12" s="62"/>
      <x:c r="O12" s="62"/>
    </x:row>
    <x:row r="13" ht="25" customHeight="1">
      <x:c r="A13" s="48" t="n">
        <x:v>6</x:v>
      </x:c>
      <x:c r="B13" s="64" t="n">
        <x:v>85</x:v>
      </x:c>
      <x:c r="C13" s="64" t="n">
        <x:v>15</x:v>
      </x:c>
      <x:c r="D13" s="64" t="n">
        <x:v>2</x:v>
      </x:c>
      <x:c r="E13" s="48" t="n">
        <x:f>IF(A13=5,'参数'!$B$43,IF(AND(A13&gt;=10,MOD(A13,5)=0),'参数'!$B$44,0))</x:f>
        <x:v>0</x:v>
      </x:c>
      <x:c r="F13" s="48" t="n">
        <x:f>IF(A13=5,'参数'!$B$45,IF(AND(A13&gt;=10,MOD(A13,5)=0),'参数'!$B$46,0))</x:f>
        <x:v>0</x:v>
      </x:c>
      <x:c r="G13" s="48" t="n">
        <x:f>G12+B13*('参数'!$B$32+'参数'!$B$33)</x:f>
        <x:v>2065</x:v>
      </x:c>
      <x:c r="H13" s="48" t="n">
        <x:f>H12+C13*'参数'!$B$32+F13*'参数'!$B$33</x:f>
        <x:v>161</x:v>
      </x:c>
      <x:c r="I13" s="48" t="n">
        <x:f>I12+D13*'参数'!$B$33+E13*'参数'!$B$32</x:f>
        <x:v>35</x:v>
      </x:c>
      <x:c r="J13" s="36"/>
      <x:c r="K13" s="48" t="n">
        <x:v>7</x:v>
      </x:c>
      <x:c r="L13" s="48" t="n">
        <x:f>L12+M12</x:f>
        <x:v>3900</x:v>
      </x:c>
      <x:c r="M13" s="48" t="n">
        <x:f>'参数'!$B$35+'参数'!$B$36*(K13-1)</x:f>
        <x:v>1350</x:v>
      </x:c>
      <x:c r="N13" s="62"/>
      <x:c r="O13" s="62"/>
    </x:row>
    <x:row r="14" ht="25" customHeight="1">
      <x:c r="A14" s="48" t="n">
        <x:v>7</x:v>
      </x:c>
      <x:c r="B14" s="64" t="n">
        <x:v>105</x:v>
      </x:c>
      <x:c r="C14" s="64" t="n">
        <x:v>19</x:v>
      </x:c>
      <x:c r="D14" s="64" t="n">
        <x:v>3</x:v>
      </x:c>
      <x:c r="E14" s="48" t="n">
        <x:f>IF(A14=5,'参数'!$B$43,IF(AND(A14&gt;=10,MOD(A14,5)=0),'参数'!$B$44,0))</x:f>
        <x:v>0</x:v>
      </x:c>
      <x:c r="F14" s="48" t="n">
        <x:f>IF(A14=5,'参数'!$B$45,IF(AND(A14&gt;=10,MOD(A14,5)=0),'参数'!$B$46,0))</x:f>
        <x:v>0</x:v>
      </x:c>
      <x:c r="G14" s="48" t="n">
        <x:f>G13+B14*('参数'!$B$32+'参数'!$B$33)</x:f>
        <x:v>2800</x:v>
      </x:c>
      <x:c r="H14" s="48" t="n">
        <x:f>H13+C14*'参数'!$B$32+F14*'参数'!$B$33</x:f>
        <x:v>218</x:v>
      </x:c>
      <x:c r="I14" s="48" t="n">
        <x:f>I13+D14*'参数'!$B$33+E14*'参数'!$B$32</x:f>
        <x:v>47</x:v>
      </x:c>
      <x:c r="J14" s="36"/>
      <x:c r="K14" s="48" t="n">
        <x:v>8</x:v>
      </x:c>
      <x:c r="L14" s="48" t="n">
        <x:f>L13+M13</x:f>
        <x:v>5250</x:v>
      </x:c>
      <x:c r="M14" s="48" t="n">
        <x:f>'参数'!$B$35+'参数'!$B$36*(K14-1)</x:f>
        <x:v>1550</x:v>
      </x:c>
      <x:c r="N14" s="62"/>
      <x:c r="O14" s="62"/>
    </x:row>
    <x:row r="15" ht="25" customHeight="1">
      <x:c r="A15" s="48" t="n">
        <x:v>8</x:v>
      </x:c>
      <x:c r="B15" s="64" t="n">
        <x:v>130</x:v>
      </x:c>
      <x:c r="C15" s="64" t="n">
        <x:v>24</x:v>
      </x:c>
      <x:c r="D15" s="64" t="n">
        <x:v>3</x:v>
      </x:c>
      <x:c r="E15" s="48" t="n">
        <x:f>IF(A15=5,'参数'!$B$43,IF(AND(A15&gt;=10,MOD(A15,5)=0),'参数'!$B$44,0))</x:f>
        <x:v>0</x:v>
      </x:c>
      <x:c r="F15" s="48" t="n">
        <x:f>IF(A15=5,'参数'!$B$45,IF(AND(A15&gt;=10,MOD(A15,5)=0),'参数'!$B$46,0))</x:f>
        <x:v>0</x:v>
      </x:c>
      <x:c r="G15" s="48" t="n">
        <x:f>G14+B15*('参数'!$B$32+'参数'!$B$33)</x:f>
        <x:v>3710</x:v>
      </x:c>
      <x:c r="H15" s="48" t="n">
        <x:f>H14+C15*'参数'!$B$32+F15*'参数'!$B$33</x:f>
        <x:v>290</x:v>
      </x:c>
      <x:c r="I15" s="48" t="n">
        <x:f>I14+D15*'参数'!$B$33+E15*'参数'!$B$32</x:f>
        <x:v>59</x:v>
      </x:c>
      <x:c r="J15" s="36"/>
      <x:c r="K15" s="48" t="n">
        <x:v>9</x:v>
      </x:c>
      <x:c r="L15" s="48" t="n">
        <x:f>L14+M14</x:f>
        <x:v>6800</x:v>
      </x:c>
      <x:c r="M15" s="48" t="n">
        <x:f>'参数'!$B$35+'参数'!$B$36*(K15-1)</x:f>
        <x:v>1750</x:v>
      </x:c>
      <x:c r="N15" s="62"/>
      <x:c r="O15" s="62"/>
    </x:row>
    <x:row r="16" ht="25" customHeight="1">
      <x:c r="A16" s="48" t="n">
        <x:v>9</x:v>
      </x:c>
      <x:c r="B16" s="64" t="n">
        <x:v>155</x:v>
      </x:c>
      <x:c r="C16" s="64" t="n">
        <x:v>30</x:v>
      </x:c>
      <x:c r="D16" s="64" t="n">
        <x:v>4</x:v>
      </x:c>
      <x:c r="E16" s="48" t="n">
        <x:f>IF(A16=5,'参数'!$B$43,IF(AND(A16&gt;=10,MOD(A16,5)=0),'参数'!$B$44,0))</x:f>
        <x:v>0</x:v>
      </x:c>
      <x:c r="F16" s="48" t="n">
        <x:f>IF(A16=5,'参数'!$B$45,IF(AND(A16&gt;=10,MOD(A16,5)=0),'参数'!$B$46,0))</x:f>
        <x:v>0</x:v>
      </x:c>
      <x:c r="G16" s="48" t="n">
        <x:f>G15+B16*('参数'!$B$32+'参数'!$B$33)</x:f>
        <x:v>4795</x:v>
      </x:c>
      <x:c r="H16" s="48" t="n">
        <x:f>H15+C16*'参数'!$B$32+F16*'参数'!$B$33</x:f>
        <x:v>380</x:v>
      </x:c>
      <x:c r="I16" s="48" t="n">
        <x:f>I15+D16*'参数'!$B$33+E16*'参数'!$B$32</x:f>
        <x:v>75</x:v>
      </x:c>
      <x:c r="J16" s="36"/>
      <x:c r="K16" s="48" t="n">
        <x:v>10</x:v>
      </x:c>
      <x:c r="L16" s="48" t="n">
        <x:f>L15+M15</x:f>
        <x:v>8550</x:v>
      </x:c>
      <x:c r="M16" s="48" t="n">
        <x:f>'参数'!$B$35+'参数'!$B$36*(K16-1)</x:f>
        <x:v>1950</x:v>
      </x:c>
      <x:c r="N16" s="62"/>
      <x:c r="O16" s="62"/>
    </x:row>
    <x:row r="17" ht="25" customHeight="1">
      <x:c r="A17" s="48" t="n">
        <x:v>10</x:v>
      </x:c>
      <x:c r="B17" s="64" t="n">
        <x:v>185</x:v>
      </x:c>
      <x:c r="C17" s="64" t="n">
        <x:v>36</x:v>
      </x:c>
      <x:c r="D17" s="64" t="n">
        <x:v>5</x:v>
      </x:c>
      <x:c r="E17" s="48" t="n">
        <x:f>IF(A17=5,'参数'!$B$43,IF(AND(A17&gt;=10,MOD(A17,5)=0),'参数'!$B$44,0))</x:f>
        <x:v>3</x:v>
      </x:c>
      <x:c r="F17" s="48" t="n">
        <x:f>IF(A17=5,'参数'!$B$45,IF(AND(A17&gt;=10,MOD(A17,5)=0),'参数'!$B$46,0))</x:f>
        <x:v>15</x:v>
      </x:c>
      <x:c r="G17" s="48" t="n">
        <x:f>G16+B17*('参数'!$B$32+'参数'!$B$33)</x:f>
        <x:v>6090</x:v>
      </x:c>
      <x:c r="H17" s="48" t="n">
        <x:f>H16+C17*'参数'!$B$32+F17*'参数'!$B$33</x:f>
        <x:v>548</x:v>
      </x:c>
      <x:c r="I17" s="48" t="n">
        <x:f>I16+D17*'参数'!$B$33+E17*'参数'!$B$32</x:f>
        <x:v>104</x:v>
      </x:c>
      <x:c r="J17" s="36"/>
      <x:c r="K17" s="48" t="n">
        <x:v>11</x:v>
      </x:c>
      <x:c r="L17" s="48" t="n">
        <x:f>L16+M16</x:f>
        <x:v>10500</x:v>
      </x:c>
      <x:c r="M17" s="48" t="n">
        <x:f>'参数'!$B$35+'参数'!$B$36*(K17-1)</x:f>
        <x:v>2150</x:v>
      </x:c>
      <x:c r="N17" s="62"/>
      <x:c r="O17" s="62"/>
    </x:row>
    <x:row r="18" ht="25" customHeight="1">
      <x:c r="A18" s="48" t="n">
        <x:v>11</x:v>
      </x:c>
      <x:c r="B18" s="48" t="n">
        <x:f>$B$17+'参数'!$B$38*(A18-10)</x:f>
        <x:v>192</x:v>
      </x:c>
      <x:c r="C18" s="48" t="n">
        <x:f>$C$17+ROUNDUP('参数'!$B$39*(A18-10),0)</x:f>
        <x:v>38</x:v>
      </x:c>
      <x:c r="D18" s="48" t="n">
        <x:f>$D$17+ROUNDUP('参数'!$B$40*(A18-10),0)</x:f>
        <x:v>6</x:v>
      </x:c>
      <x:c r="E18" s="48" t="n">
        <x:f>IF(A18=5,'参数'!$B$43,IF(AND(A18&gt;=10,MOD(A18,5)=0),'参数'!$B$44,0))</x:f>
        <x:v>0</x:v>
      </x:c>
      <x:c r="F18" s="48" t="n">
        <x:f>IF(A18=5,'参数'!$B$45,IF(AND(A18&gt;=10,MOD(A18,5)=0),'参数'!$B$46,0))</x:f>
        <x:v>0</x:v>
      </x:c>
      <x:c r="G18" s="48" t="n">
        <x:f>G17+B18*('参数'!$B$32+'参数'!$B$33)</x:f>
        <x:v>7434</x:v>
      </x:c>
      <x:c r="H18" s="48" t="n">
        <x:f>H17+C18*'参数'!$B$32+F18*'参数'!$B$33</x:f>
        <x:v>662</x:v>
      </x:c>
      <x:c r="I18" s="48" t="n">
        <x:f>I17+D18*'参数'!$B$33+E18*'参数'!$B$32</x:f>
        <x:v>128</x:v>
      </x:c>
      <x:c r="J18" s="36"/>
      <x:c r="K18" s="48" t="n">
        <x:v>12</x:v>
      </x:c>
      <x:c r="L18" s="48" t="n">
        <x:f>L17+M17</x:f>
        <x:v>12650</x:v>
      </x:c>
      <x:c r="M18" s="48" t="n">
        <x:f>'参数'!$B$35+'参数'!$B$36*(K18-1)</x:f>
        <x:v>2350</x:v>
      </x:c>
      <x:c r="N18" s="62"/>
      <x:c r="O18" s="62"/>
    </x:row>
    <x:row r="19" ht="25" customHeight="1">
      <x:c r="A19" s="48" t="n">
        <x:v>12</x:v>
      </x:c>
      <x:c r="B19" s="48" t="n">
        <x:f>$B$17+'参数'!$B$38*(A19-10)</x:f>
        <x:v>199</x:v>
      </x:c>
      <x:c r="C19" s="48" t="n">
        <x:f>$C$17+ROUNDUP('参数'!$B$39*(A19-10),0)</x:f>
        <x:v>40</x:v>
      </x:c>
      <x:c r="D19" s="48" t="n">
        <x:f>$D$17+ROUNDUP('参数'!$B$40*(A19-10),0)</x:f>
        <x:v>6</x:v>
      </x:c>
      <x:c r="E19" s="48" t="n">
        <x:f>IF(A19=5,'参数'!$B$43,IF(AND(A19&gt;=10,MOD(A19,5)=0),'参数'!$B$44,0))</x:f>
        <x:v>0</x:v>
      </x:c>
      <x:c r="F19" s="48" t="n">
        <x:f>IF(A19=5,'参数'!$B$45,IF(AND(A19&gt;=10,MOD(A19,5)=0),'参数'!$B$46,0))</x:f>
        <x:v>0</x:v>
      </x:c>
      <x:c r="G19" s="48" t="n">
        <x:f>G18+B19*('参数'!$B$32+'参数'!$B$33)</x:f>
        <x:v>8827</x:v>
      </x:c>
      <x:c r="H19" s="48" t="n">
        <x:f>H18+C19*'参数'!$B$32+F19*'参数'!$B$33</x:f>
        <x:v>782</x:v>
      </x:c>
      <x:c r="I19" s="48" t="n">
        <x:f>I18+D19*'参数'!$B$33+E19*'参数'!$B$32</x:f>
        <x:v>152</x:v>
      </x:c>
      <x:c r="J19" s="36"/>
      <x:c r="K19" s="48" t="n">
        <x:v>13</x:v>
      </x:c>
      <x:c r="L19" s="48" t="n">
        <x:f>L18+M18</x:f>
        <x:v>15000</x:v>
      </x:c>
      <x:c r="M19" s="48" t="n">
        <x:f>'参数'!$B$35+'参数'!$B$36*(K19-1)</x:f>
        <x:v>2550</x:v>
      </x:c>
      <x:c r="N19" s="62"/>
      <x:c r="O19" s="62"/>
    </x:row>
    <x:row r="20" ht="25" customHeight="1">
      <x:c r="A20" s="48" t="n">
        <x:v>13</x:v>
      </x:c>
      <x:c r="B20" s="48" t="n">
        <x:f>$B$17+'参数'!$B$38*(A20-10)</x:f>
        <x:v>206</x:v>
      </x:c>
      <x:c r="C20" s="48" t="n">
        <x:f>$C$17+ROUNDUP('参数'!$B$39*(A20-10),0)</x:f>
        <x:v>42</x:v>
      </x:c>
      <x:c r="D20" s="48" t="n">
        <x:f>$D$17+ROUNDUP('参数'!$B$40*(A20-10),0)</x:f>
        <x:v>7</x:v>
      </x:c>
      <x:c r="E20" s="48" t="n">
        <x:f>IF(A20=5,'参数'!$B$43,IF(AND(A20&gt;=10,MOD(A20,5)=0),'参数'!$B$44,0))</x:f>
        <x:v>0</x:v>
      </x:c>
      <x:c r="F20" s="48" t="n">
        <x:f>IF(A20=5,'参数'!$B$45,IF(AND(A20&gt;=10,MOD(A20,5)=0),'参数'!$B$46,0))</x:f>
        <x:v>0</x:v>
      </x:c>
      <x:c r="G20" s="48" t="n">
        <x:f>G19+B20*('参数'!$B$32+'参数'!$B$33)</x:f>
        <x:v>10269</x:v>
      </x:c>
      <x:c r="H20" s="48" t="n">
        <x:f>H19+C20*'参数'!$B$32+F20*'参数'!$B$33</x:f>
        <x:v>908</x:v>
      </x:c>
      <x:c r="I20" s="48" t="n">
        <x:f>I19+D20*'参数'!$B$33+E20*'参数'!$B$32</x:f>
        <x:v>180</x:v>
      </x:c>
      <x:c r="J20" s="36"/>
      <x:c r="K20" s="48" t="n">
        <x:v>14</x:v>
      </x:c>
      <x:c r="L20" s="48" t="n">
        <x:f>L19+M19</x:f>
        <x:v>17550</x:v>
      </x:c>
      <x:c r="M20" s="48" t="n">
        <x:f>'参数'!$B$35+'参数'!$B$36*(K20-1)</x:f>
        <x:v>2750</x:v>
      </x:c>
      <x:c r="N20" s="62"/>
      <x:c r="O20" s="62"/>
    </x:row>
    <x:row r="21" ht="25" customHeight="1">
      <x:c r="A21" s="48" t="n">
        <x:v>14</x:v>
      </x:c>
      <x:c r="B21" s="48" t="n">
        <x:f>$B$17+'参数'!$B$38*(A21-10)</x:f>
        <x:v>213</x:v>
      </x:c>
      <x:c r="C21" s="48" t="n">
        <x:f>$C$17+ROUNDUP('参数'!$B$39*(A21-10),0)</x:f>
        <x:v>43</x:v>
      </x:c>
      <x:c r="D21" s="48" t="n">
        <x:f>$D$17+ROUNDUP('参数'!$B$40*(A21-10),0)</x:f>
        <x:v>7</x:v>
      </x:c>
      <x:c r="E21" s="48" t="n">
        <x:f>IF(A21=5,'参数'!$B$43,IF(AND(A21&gt;=10,MOD(A21,5)=0),'参数'!$B$44,0))</x:f>
        <x:v>0</x:v>
      </x:c>
      <x:c r="F21" s="48" t="n">
        <x:f>IF(A21=5,'参数'!$B$45,IF(AND(A21&gt;=10,MOD(A21,5)=0),'参数'!$B$46,0))</x:f>
        <x:v>0</x:v>
      </x:c>
      <x:c r="G21" s="48" t="n">
        <x:f>G20+B21*('参数'!$B$32+'参数'!$B$33)</x:f>
        <x:v>11760</x:v>
      </x:c>
      <x:c r="H21" s="48" t="n">
        <x:f>H20+C21*'参数'!$B$32+F21*'参数'!$B$33</x:f>
        <x:v>1037</x:v>
      </x:c>
      <x:c r="I21" s="48" t="n">
        <x:f>I20+D21*'参数'!$B$33+E21*'参数'!$B$32</x:f>
        <x:v>208</x:v>
      </x:c>
      <x:c r="J21" s="36"/>
      <x:c r="K21" s="48" t="n">
        <x:v>15</x:v>
      </x:c>
      <x:c r="L21" s="48" t="n">
        <x:f>L20+M20</x:f>
        <x:v>20300</x:v>
      </x:c>
      <x:c r="M21" s="48" t="n">
        <x:f>'参数'!$B$35+'参数'!$B$36*(K21-1)</x:f>
        <x:v>2950</x:v>
      </x:c>
      <x:c r="N21" s="62"/>
      <x:c r="O21" s="62"/>
    </x:row>
    <x:row r="22" ht="25" customHeight="1">
      <x:c r="A22" s="48" t="n">
        <x:v>15</x:v>
      </x:c>
      <x:c r="B22" s="48" t="n">
        <x:f>$B$17+'参数'!$B$38*(A22-10)</x:f>
        <x:v>220</x:v>
      </x:c>
      <x:c r="C22" s="48" t="n">
        <x:f>$C$17+ROUNDUP('参数'!$B$39*(A22-10),0)</x:f>
        <x:v>45</x:v>
      </x:c>
      <x:c r="D22" s="48" t="n">
        <x:f>$D$17+ROUNDUP('参数'!$B$40*(A22-10),0)</x:f>
        <x:v>7</x:v>
      </x:c>
      <x:c r="E22" s="48" t="n">
        <x:f>IF(A22=5,'参数'!$B$43,IF(AND(A22&gt;=10,MOD(A22,5)=0),'参数'!$B$44,0))</x:f>
        <x:v>3</x:v>
      </x:c>
      <x:c r="F22" s="48" t="n">
        <x:f>IF(A22=5,'参数'!$B$45,IF(AND(A22&gt;=10,MOD(A22,5)=0),'参数'!$B$46,0))</x:f>
        <x:v>15</x:v>
      </x:c>
      <x:c r="G22" s="48" t="n">
        <x:f>G21+B22*('参数'!$B$32+'参数'!$B$33)</x:f>
        <x:v>13300</x:v>
      </x:c>
      <x:c r="H22" s="48" t="n">
        <x:f>H21+C22*'参数'!$B$32+F22*'参数'!$B$33</x:f>
        <x:v>1232</x:v>
      </x:c>
      <x:c r="I22" s="48" t="n">
        <x:f>I21+D22*'参数'!$B$33+E22*'参数'!$B$32</x:f>
        <x:v>245</x:v>
      </x:c>
      <x:c r="J22" s="36"/>
      <x:c r="K22" s="48" t="n">
        <x:v>16</x:v>
      </x:c>
      <x:c r="L22" s="48" t="n">
        <x:f>L21+M21</x:f>
        <x:v>23250</x:v>
      </x:c>
      <x:c r="M22" s="48" t="n">
        <x:f>'参数'!$B$35+'参数'!$B$36*(K22-1)</x:f>
        <x:v>3150</x:v>
      </x:c>
      <x:c r="N22" s="62"/>
      <x:c r="O22" s="62"/>
    </x:row>
    <x:row r="23" ht="25" customHeight="1">
      <x:c r="A23" s="48" t="n">
        <x:v>16</x:v>
      </x:c>
      <x:c r="B23" s="48" t="n">
        <x:f>$B$17+'参数'!$B$38*(A23-10)</x:f>
        <x:v>227</x:v>
      </x:c>
      <x:c r="C23" s="48" t="n">
        <x:f>$C$17+ROUNDUP('参数'!$B$39*(A23-10),0)</x:f>
        <x:v>47</x:v>
      </x:c>
      <x:c r="D23" s="48" t="n">
        <x:f>$D$17+ROUNDUP('参数'!$B$40*(A23-10),0)</x:f>
        <x:v>8</x:v>
      </x:c>
      <x:c r="E23" s="48" t="n">
        <x:f>IF(A23=5,'参数'!$B$43,IF(AND(A23&gt;=10,MOD(A23,5)=0),'参数'!$B$44,0))</x:f>
        <x:v>0</x:v>
      </x:c>
      <x:c r="F23" s="48" t="n">
        <x:f>IF(A23=5,'参数'!$B$45,IF(AND(A23&gt;=10,MOD(A23,5)=0),'参数'!$B$46,0))</x:f>
        <x:v>0</x:v>
      </x:c>
      <x:c r="G23" s="48" t="n">
        <x:f>G22+B23*('参数'!$B$32+'参数'!$B$33)</x:f>
        <x:v>14889</x:v>
      </x:c>
      <x:c r="H23" s="48" t="n">
        <x:f>H22+C23*'参数'!$B$32+F23*'参数'!$B$33</x:f>
        <x:v>1373</x:v>
      </x:c>
      <x:c r="I23" s="48" t="n">
        <x:f>I22+D23*'参数'!$B$33+E23*'参数'!$B$32</x:f>
        <x:v>277</x:v>
      </x:c>
      <x:c r="J23" s="36"/>
      <x:c r="K23" s="48" t="n">
        <x:v>17</x:v>
      </x:c>
      <x:c r="L23" s="48" t="n">
        <x:f>L22+M22</x:f>
        <x:v>26400</x:v>
      </x:c>
      <x:c r="M23" s="48" t="n">
        <x:f>'参数'!$B$35+'参数'!$B$36*(K23-1)</x:f>
        <x:v>3350</x:v>
      </x:c>
      <x:c r="N23" s="62"/>
      <x:c r="O23" s="62"/>
    </x:row>
    <x:row r="24" ht="25" customHeight="1">
      <x:c r="A24" s="48" t="n">
        <x:v>17</x:v>
      </x:c>
      <x:c r="B24" s="48" t="n">
        <x:f>$B$17+'参数'!$B$38*(A24-10)</x:f>
        <x:v>234</x:v>
      </x:c>
      <x:c r="C24" s="48" t="n">
        <x:f>$C$17+ROUNDUP('参数'!$B$39*(A24-10),0)</x:f>
        <x:v>49</x:v>
      </x:c>
      <x:c r="D24" s="48" t="n">
        <x:f>$D$17+ROUNDUP('参数'!$B$40*(A24-10),0)</x:f>
        <x:v>8</x:v>
      </x:c>
      <x:c r="E24" s="48" t="n">
        <x:f>IF(A24=5,'参数'!$B$43,IF(AND(A24&gt;=10,MOD(A24,5)=0),'参数'!$B$44,0))</x:f>
        <x:v>0</x:v>
      </x:c>
      <x:c r="F24" s="48" t="n">
        <x:f>IF(A24=5,'参数'!$B$45,IF(AND(A24&gt;=10,MOD(A24,5)=0),'参数'!$B$46,0))</x:f>
        <x:v>0</x:v>
      </x:c>
      <x:c r="G24" s="48" t="n">
        <x:f>G23+B24*('参数'!$B$32+'参数'!$B$33)</x:f>
        <x:v>16527</x:v>
      </x:c>
      <x:c r="H24" s="48" t="n">
        <x:f>H23+C24*'参数'!$B$32+F24*'参数'!$B$33</x:f>
        <x:v>1520</x:v>
      </x:c>
      <x:c r="I24" s="48" t="n">
        <x:f>I23+D24*'参数'!$B$33+E24*'参数'!$B$32</x:f>
        <x:v>309</x:v>
      </x:c>
      <x:c r="J24" s="36"/>
      <x:c r="K24" s="48" t="n">
        <x:v>18</x:v>
      </x:c>
      <x:c r="L24" s="48" t="n">
        <x:f>L23+M23</x:f>
        <x:v>29750</x:v>
      </x:c>
      <x:c r="M24" s="48" t="n">
        <x:f>'参数'!$B$35+'参数'!$B$36*(K24-1)</x:f>
        <x:v>3550</x:v>
      </x:c>
      <x:c r="N24" s="62"/>
      <x:c r="O24" s="62"/>
    </x:row>
    <x:row r="25" ht="25" customHeight="1">
      <x:c r="A25" s="48" t="n">
        <x:v>18</x:v>
      </x:c>
      <x:c r="B25" s="48" t="n">
        <x:f>$B$17+'参数'!$B$38*(A25-10)</x:f>
        <x:v>241</x:v>
      </x:c>
      <x:c r="C25" s="48" t="n">
        <x:f>$C$17+ROUNDUP('参数'!$B$39*(A25-10),0)</x:f>
        <x:v>50</x:v>
      </x:c>
      <x:c r="D25" s="48" t="n">
        <x:f>$D$17+ROUNDUP('参数'!$B$40*(A25-10),0)</x:f>
        <x:v>9</x:v>
      </x:c>
      <x:c r="E25" s="48" t="n">
        <x:f>IF(A25=5,'参数'!$B$43,IF(AND(A25&gt;=10,MOD(A25,5)=0),'参数'!$B$44,0))</x:f>
        <x:v>0</x:v>
      </x:c>
      <x:c r="F25" s="48" t="n">
        <x:f>IF(A25=5,'参数'!$B$45,IF(AND(A25&gt;=10,MOD(A25,5)=0),'参数'!$B$46,0))</x:f>
        <x:v>0</x:v>
      </x:c>
      <x:c r="G25" s="48" t="n">
        <x:f>G24+B25*('参数'!$B$32+'参数'!$B$33)</x:f>
        <x:v>18214</x:v>
      </x:c>
      <x:c r="H25" s="48" t="n">
        <x:f>H24+C25*'参数'!$B$32+F25*'参数'!$B$33</x:f>
        <x:v>1670</x:v>
      </x:c>
      <x:c r="I25" s="48" t="n">
        <x:f>I24+D25*'参数'!$B$33+E25*'参数'!$B$32</x:f>
        <x:v>345</x:v>
      </x:c>
      <x:c r="J25" s="36"/>
      <x:c r="K25" s="48" t="n">
        <x:v>19</x:v>
      </x:c>
      <x:c r="L25" s="48" t="n">
        <x:f>L24+M24</x:f>
        <x:v>33300</x:v>
      </x:c>
      <x:c r="M25" s="48" t="n">
        <x:f>'参数'!$B$35+'参数'!$B$36*(K25-1)</x:f>
        <x:v>3750</x:v>
      </x:c>
      <x:c r="N25" s="62"/>
      <x:c r="O25" s="62"/>
    </x:row>
    <x:row r="26" ht="25" customHeight="1">
      <x:c r="A26" s="48" t="n">
        <x:v>19</x:v>
      </x:c>
      <x:c r="B26" s="48" t="n">
        <x:f>$B$17+'参数'!$B$38*(A26-10)</x:f>
        <x:v>248</x:v>
      </x:c>
      <x:c r="C26" s="48" t="n">
        <x:f>$C$17+ROUNDUP('参数'!$B$39*(A26-10),0)</x:f>
        <x:v>52</x:v>
      </x:c>
      <x:c r="D26" s="48" t="n">
        <x:f>$D$17+ROUNDUP('参数'!$B$40*(A26-10),0)</x:f>
        <x:v>9</x:v>
      </x:c>
      <x:c r="E26" s="48" t="n">
        <x:f>IF(A26=5,'参数'!$B$43,IF(AND(A26&gt;=10,MOD(A26,5)=0),'参数'!$B$44,0))</x:f>
        <x:v>0</x:v>
      </x:c>
      <x:c r="F26" s="48" t="n">
        <x:f>IF(A26=5,'参数'!$B$45,IF(AND(A26&gt;=10,MOD(A26,5)=0),'参数'!$B$46,0))</x:f>
        <x:v>0</x:v>
      </x:c>
      <x:c r="G26" s="48" t="n">
        <x:f>G25+B26*('参数'!$B$32+'参数'!$B$33)</x:f>
        <x:v>19950</x:v>
      </x:c>
      <x:c r="H26" s="48" t="n">
        <x:f>H25+C26*'参数'!$B$32+F26*'参数'!$B$33</x:f>
        <x:v>1826</x:v>
      </x:c>
      <x:c r="I26" s="48" t="n">
        <x:f>I25+D26*'参数'!$B$33+E26*'参数'!$B$32</x:f>
        <x:v>381</x:v>
      </x:c>
      <x:c r="J26" s="36"/>
      <x:c r="K26" s="48" t="n">
        <x:v>20</x:v>
      </x:c>
      <x:c r="L26" s="48" t="n">
        <x:f>L25+M25</x:f>
        <x:v>37050</x:v>
      </x:c>
      <x:c r="M26" s="48" t="n">
        <x:f>'参数'!$B$35+'参数'!$B$36*(K26-1)</x:f>
        <x:v>3950</x:v>
      </x:c>
      <x:c r="N26" s="62"/>
      <x:c r="O26" s="62"/>
    </x:row>
    <x:row r="27" ht="25" customHeight="1">
      <x:c r="A27" s="48" t="n">
        <x:v>20</x:v>
      </x:c>
      <x:c r="B27" s="48" t="n">
        <x:f>$B$17+'参数'!$B$38*(A27-10)</x:f>
        <x:v>255</x:v>
      </x:c>
      <x:c r="C27" s="48" t="n">
        <x:f>$C$17+ROUNDUP('参数'!$B$39*(A27-10),0)</x:f>
        <x:v>54</x:v>
      </x:c>
      <x:c r="D27" s="48" t="n">
        <x:f>$D$17+ROUNDUP('参数'!$B$40*(A27-10),0)</x:f>
        <x:v>9</x:v>
      </x:c>
      <x:c r="E27" s="48" t="n">
        <x:f>IF(A27=5,'参数'!$B$43,IF(AND(A27&gt;=10,MOD(A27,5)=0),'参数'!$B$44,0))</x:f>
        <x:v>3</x:v>
      </x:c>
      <x:c r="F27" s="48" t="n">
        <x:f>IF(A27=5,'参数'!$B$45,IF(AND(A27&gt;=10,MOD(A27,5)=0),'参数'!$B$46,0))</x:f>
        <x:v>15</x:v>
      </x:c>
      <x:c r="G27" s="48" t="n">
        <x:f>G26+B27*('参数'!$B$32+'参数'!$B$33)</x:f>
        <x:v>21735</x:v>
      </x:c>
      <x:c r="H27" s="48" t="n">
        <x:f>H26+C27*'参数'!$B$32+F27*'参数'!$B$33</x:f>
        <x:v>2048</x:v>
      </x:c>
      <x:c r="I27" s="48" t="n">
        <x:f>I26+D27*'参数'!$B$33+E27*'参数'!$B$32</x:f>
        <x:v>426</x:v>
      </x:c>
      <x:c r="J27" s="36"/>
      <x:c r="K27" s="48" t="n">
        <x:v>21</x:v>
      </x:c>
      <x:c r="L27" s="48" t="n">
        <x:f>L26+M26</x:f>
        <x:v>41000</x:v>
      </x:c>
      <x:c r="M27" s="48" t="n">
        <x:f>'参数'!$B$35+'参数'!$B$36*(K27-1)</x:f>
        <x:v>4150</x:v>
      </x:c>
      <x:c r="N27" s="62"/>
      <x:c r="O27" s="62"/>
    </x:row>
    <x:row r="28" ht="25" customHeight="1">
      <x:c r="A28" s="48" t="n">
        <x:v>21</x:v>
      </x:c>
      <x:c r="B28" s="48" t="n">
        <x:f>$B$17+'参数'!$B$38*(A28-10)</x:f>
        <x:v>262</x:v>
      </x:c>
      <x:c r="C28" s="48" t="n">
        <x:f>$C$17+ROUNDUP('参数'!$B$39*(A28-10),0)</x:f>
        <x:v>56</x:v>
      </x:c>
      <x:c r="D28" s="48" t="n">
        <x:f>$D$17+ROUNDUP('参数'!$B$40*(A28-10),0)</x:f>
        <x:v>10</x:v>
      </x:c>
      <x:c r="E28" s="48" t="n">
        <x:f>IF(A28=5,'参数'!$B$43,IF(AND(A28&gt;=10,MOD(A28,5)=0),'参数'!$B$44,0))</x:f>
        <x:v>0</x:v>
      </x:c>
      <x:c r="F28" s="48" t="n">
        <x:f>IF(A28=5,'参数'!$B$45,IF(AND(A28&gt;=10,MOD(A28,5)=0),'参数'!$B$46,0))</x:f>
        <x:v>0</x:v>
      </x:c>
      <x:c r="G28" s="48" t="n">
        <x:f>G27+B28*('参数'!$B$32+'参数'!$B$33)</x:f>
        <x:v>23569</x:v>
      </x:c>
      <x:c r="H28" s="48" t="n">
        <x:f>H27+C28*'参数'!$B$32+F28*'参数'!$B$33</x:f>
        <x:v>2216</x:v>
      </x:c>
      <x:c r="I28" s="48" t="n">
        <x:f>I27+D28*'参数'!$B$33+E28*'参数'!$B$32</x:f>
        <x:v>466</x:v>
      </x:c>
      <x:c r="J28" s="36"/>
      <x:c r="K28" s="48" t="n">
        <x:v>22</x:v>
      </x:c>
      <x:c r="L28" s="48" t="n">
        <x:f>L27+M27</x:f>
        <x:v>45150</x:v>
      </x:c>
      <x:c r="M28" s="48" t="n">
        <x:f>'参数'!$B$35+'参数'!$B$36*(K28-1)</x:f>
        <x:v>4350</x:v>
      </x:c>
      <x:c r="N28" s="62"/>
      <x:c r="O28" s="62"/>
    </x:row>
    <x:row r="29" ht="25" customHeight="1">
      <x:c r="A29" s="48" t="n">
        <x:v>22</x:v>
      </x:c>
      <x:c r="B29" s="48" t="n">
        <x:f>$B$17+'参数'!$B$38*(A29-10)</x:f>
        <x:v>269</x:v>
      </x:c>
      <x:c r="C29" s="48" t="n">
        <x:f>$C$17+ROUNDUP('参数'!$B$39*(A29-10),0)</x:f>
        <x:v>57</x:v>
      </x:c>
      <x:c r="D29" s="48" t="n">
        <x:f>$D$17+ROUNDUP('参数'!$B$40*(A29-10),0)</x:f>
        <x:v>10</x:v>
      </x:c>
      <x:c r="E29" s="48" t="n">
        <x:f>IF(A29=5,'参数'!$B$43,IF(AND(A29&gt;=10,MOD(A29,5)=0),'参数'!$B$44,0))</x:f>
        <x:v>0</x:v>
      </x:c>
      <x:c r="F29" s="48" t="n">
        <x:f>IF(A29=5,'参数'!$B$45,IF(AND(A29&gt;=10,MOD(A29,5)=0),'参数'!$B$46,0))</x:f>
        <x:v>0</x:v>
      </x:c>
      <x:c r="G29" s="48" t="n">
        <x:f>G28+B29*('参数'!$B$32+'参数'!$B$33)</x:f>
        <x:v>25452</x:v>
      </x:c>
      <x:c r="H29" s="48" t="n">
        <x:f>H28+C29*'参数'!$B$32+F29*'参数'!$B$33</x:f>
        <x:v>2387</x:v>
      </x:c>
      <x:c r="I29" s="48" t="n">
        <x:f>I28+D29*'参数'!$B$33+E29*'参数'!$B$32</x:f>
        <x:v>506</x:v>
      </x:c>
      <x:c r="J29" s="36"/>
      <x:c r="K29" s="48" t="n">
        <x:v>23</x:v>
      </x:c>
      <x:c r="L29" s="48" t="n">
        <x:f>L28+M28</x:f>
        <x:v>49500</x:v>
      </x:c>
      <x:c r="M29" s="48" t="n">
        <x:f>'参数'!$B$35+'参数'!$B$36*(K29-1)</x:f>
        <x:v>4550</x:v>
      </x:c>
      <x:c r="N29" s="62"/>
      <x:c r="O29" s="62"/>
    </x:row>
    <x:row r="30" ht="25" customHeight="1">
      <x:c r="A30" s="48" t="n">
        <x:v>23</x:v>
      </x:c>
      <x:c r="B30" s="48" t="n">
        <x:f>$B$17+'参数'!$B$38*(A30-10)</x:f>
        <x:v>276</x:v>
      </x:c>
      <x:c r="C30" s="48" t="n">
        <x:f>$C$17+ROUNDUP('参数'!$B$39*(A30-10),0)</x:f>
        <x:v>59</x:v>
      </x:c>
      <x:c r="D30" s="48" t="n">
        <x:f>$D$17+ROUNDUP('参数'!$B$40*(A30-10),0)</x:f>
        <x:v>11</x:v>
      </x:c>
      <x:c r="E30" s="48" t="n">
        <x:f>IF(A30=5,'参数'!$B$43,IF(AND(A30&gt;=10,MOD(A30,5)=0),'参数'!$B$44,0))</x:f>
        <x:v>0</x:v>
      </x:c>
      <x:c r="F30" s="48" t="n">
        <x:f>IF(A30=5,'参数'!$B$45,IF(AND(A30&gt;=10,MOD(A30,5)=0),'参数'!$B$46,0))</x:f>
        <x:v>0</x:v>
      </x:c>
      <x:c r="G30" s="48" t="n">
        <x:f>G29+B30*('参数'!$B$32+'参数'!$B$33)</x:f>
        <x:v>27384</x:v>
      </x:c>
      <x:c r="H30" s="48" t="n">
        <x:f>H29+C30*'参数'!$B$32+F30*'参数'!$B$33</x:f>
        <x:v>2564</x:v>
      </x:c>
      <x:c r="I30" s="48" t="n">
        <x:f>I29+D30*'参数'!$B$33+E30*'参数'!$B$32</x:f>
        <x:v>550</x:v>
      </x:c>
      <x:c r="J30" s="36"/>
      <x:c r="K30" s="48" t="n">
        <x:v>24</x:v>
      </x:c>
      <x:c r="L30" s="48" t="n">
        <x:f>L29+M29</x:f>
        <x:v>54050</x:v>
      </x:c>
      <x:c r="M30" s="48" t="n">
        <x:f>'参数'!$B$35+'参数'!$B$36*(K30-1)</x:f>
        <x:v>4750</x:v>
      </x:c>
      <x:c r="N30" s="62"/>
      <x:c r="O30" s="62"/>
    </x:row>
    <x:row r="31" ht="25" customHeight="1">
      <x:c r="A31" s="48" t="n">
        <x:v>24</x:v>
      </x:c>
      <x:c r="B31" s="48" t="n">
        <x:f>$B$17+'参数'!$B$38*(A31-10)</x:f>
        <x:v>283</x:v>
      </x:c>
      <x:c r="C31" s="48" t="n">
        <x:f>$C$17+ROUNDUP('参数'!$B$39*(A31-10),0)</x:f>
        <x:v>61</x:v>
      </x:c>
      <x:c r="D31" s="48" t="n">
        <x:f>$D$17+ROUNDUP('参数'!$B$40*(A31-10),0)</x:f>
        <x:v>11</x:v>
      </x:c>
      <x:c r="E31" s="48" t="n">
        <x:f>IF(A31=5,'参数'!$B$43,IF(AND(A31&gt;=10,MOD(A31,5)=0),'参数'!$B$44,0))</x:f>
        <x:v>0</x:v>
      </x:c>
      <x:c r="F31" s="48" t="n">
        <x:f>IF(A31=5,'参数'!$B$45,IF(AND(A31&gt;=10,MOD(A31,5)=0),'参数'!$B$46,0))</x:f>
        <x:v>0</x:v>
      </x:c>
      <x:c r="G31" s="48" t="n">
        <x:f>G30+B31*('参数'!$B$32+'参数'!$B$33)</x:f>
        <x:v>29365</x:v>
      </x:c>
      <x:c r="H31" s="48" t="n">
        <x:f>H30+C31*'参数'!$B$32+F31*'参数'!$B$33</x:f>
        <x:v>2747</x:v>
      </x:c>
      <x:c r="I31" s="48" t="n">
        <x:f>I30+D31*'参数'!$B$33+E31*'参数'!$B$32</x:f>
        <x:v>594</x:v>
      </x:c>
      <x:c r="J31" s="36"/>
      <x:c r="K31" s="48" t="n">
        <x:v>25</x:v>
      </x:c>
      <x:c r="L31" s="48" t="n">
        <x:f>L30+M30</x:f>
        <x:v>58800</x:v>
      </x:c>
      <x:c r="M31" s="48" t="n">
        <x:f>'参数'!$B$35+'参数'!$B$36*(K31-1)</x:f>
        <x:v>4950</x:v>
      </x:c>
      <x:c r="N31" s="62"/>
      <x:c r="O31" s="62"/>
    </x:row>
    <x:row r="32" ht="25" customHeight="1">
      <x:c r="A32" s="48" t="n">
        <x:v>25</x:v>
      </x:c>
      <x:c r="B32" s="48" t="n">
        <x:f>$B$17+'参数'!$B$38*(A32-10)</x:f>
        <x:v>290</x:v>
      </x:c>
      <x:c r="C32" s="48" t="n">
        <x:f>$C$17+ROUNDUP('参数'!$B$39*(A32-10),0)</x:f>
        <x:v>63</x:v>
      </x:c>
      <x:c r="D32" s="48" t="n">
        <x:f>$D$17+ROUNDUP('参数'!$B$40*(A32-10),0)</x:f>
        <x:v>11</x:v>
      </x:c>
      <x:c r="E32" s="48" t="n">
        <x:f>IF(A32=5,'参数'!$B$43,IF(AND(A32&gt;=10,MOD(A32,5)=0),'参数'!$B$44,0))</x:f>
        <x:v>3</x:v>
      </x:c>
      <x:c r="F32" s="48" t="n">
        <x:f>IF(A32=5,'参数'!$B$45,IF(AND(A32&gt;=10,MOD(A32,5)=0),'参数'!$B$46,0))</x:f>
        <x:v>15</x:v>
      </x:c>
      <x:c r="G32" s="48" t="n">
        <x:f>G31+B32*('参数'!$B$32+'参数'!$B$33)</x:f>
        <x:v>31395</x:v>
      </x:c>
      <x:c r="H32" s="48" t="n">
        <x:f>H31+C32*'参数'!$B$32+F32*'参数'!$B$33</x:f>
        <x:v>2996</x:v>
      </x:c>
      <x:c r="I32" s="48" t="n">
        <x:f>I31+D32*'参数'!$B$33+E32*'参数'!$B$32</x:f>
        <x:v>647</x:v>
      </x:c>
      <x:c r="J32" s="36"/>
      <x:c r="K32" s="48" t="n">
        <x:v>26</x:v>
      </x:c>
      <x:c r="L32" s="48" t="n">
        <x:f>L31+M31</x:f>
        <x:v>63750</x:v>
      </x:c>
      <x:c r="M32" s="48" t="n">
        <x:f>'参数'!$B$35+'参数'!$B$36*(K32-1)</x:f>
        <x:v>5150</x:v>
      </x:c>
      <x:c r="N32" s="62"/>
      <x:c r="O32" s="62"/>
    </x:row>
    <x:row r="33" ht="25" customHeight="1">
      <x:c r="A33" s="48" t="n">
        <x:v>26</x:v>
      </x:c>
      <x:c r="B33" s="48" t="n">
        <x:f>$B$17+'参数'!$B$38*(A33-10)</x:f>
        <x:v>297</x:v>
      </x:c>
      <x:c r="C33" s="48" t="n">
        <x:f>$C$17+ROUNDUP('参数'!$B$39*(A33-10),0)</x:f>
        <x:v>64</x:v>
      </x:c>
      <x:c r="D33" s="48" t="n">
        <x:f>$D$17+ROUNDUP('参数'!$B$40*(A33-10),0)</x:f>
        <x:v>12</x:v>
      </x:c>
      <x:c r="E33" s="48" t="n">
        <x:f>IF(A33=5,'参数'!$B$43,IF(AND(A33&gt;=10,MOD(A33,5)=0),'参数'!$B$44,0))</x:f>
        <x:v>0</x:v>
      </x:c>
      <x:c r="F33" s="48" t="n">
        <x:f>IF(A33=5,'参数'!$B$45,IF(AND(A33&gt;=10,MOD(A33,5)=0),'参数'!$B$46,0))</x:f>
        <x:v>0</x:v>
      </x:c>
      <x:c r="G33" s="48" t="n">
        <x:f>G32+B33*('参数'!$B$32+'参数'!$B$33)</x:f>
        <x:v>33474</x:v>
      </x:c>
      <x:c r="H33" s="48" t="n">
        <x:f>H32+C33*'参数'!$B$32+F33*'参数'!$B$33</x:f>
        <x:v>3188</x:v>
      </x:c>
      <x:c r="I33" s="48" t="n">
        <x:f>I32+D33*'参数'!$B$33+E33*'参数'!$B$32</x:f>
        <x:v>695</x:v>
      </x:c>
      <x:c r="J33" s="36"/>
      <x:c r="K33" s="48" t="n">
        <x:v>27</x:v>
      </x:c>
      <x:c r="L33" s="48" t="n">
        <x:f>L32+M32</x:f>
        <x:v>68900</x:v>
      </x:c>
      <x:c r="M33" s="48" t="n">
        <x:f>'参数'!$B$35+'参数'!$B$36*(K33-1)</x:f>
        <x:v>5350</x:v>
      </x:c>
      <x:c r="N33" s="62"/>
      <x:c r="O33" s="62"/>
    </x:row>
    <x:row r="34" ht="25" customHeight="1">
      <x:c r="A34" s="48" t="n">
        <x:v>27</x:v>
      </x:c>
      <x:c r="B34" s="48" t="n">
        <x:f>$B$17+'参数'!$B$38*(A34-10)</x:f>
        <x:v>304</x:v>
      </x:c>
      <x:c r="C34" s="48" t="n">
        <x:f>$C$17+ROUNDUP('参数'!$B$39*(A34-10),0)</x:f>
        <x:v>66</x:v>
      </x:c>
      <x:c r="D34" s="48" t="n">
        <x:f>$D$17+ROUNDUP('参数'!$B$40*(A34-10),0)</x:f>
        <x:v>12</x:v>
      </x:c>
      <x:c r="E34" s="48" t="n">
        <x:f>IF(A34=5,'参数'!$B$43,IF(AND(A34&gt;=10,MOD(A34,5)=0),'参数'!$B$44,0))</x:f>
        <x:v>0</x:v>
      </x:c>
      <x:c r="F34" s="48" t="n">
        <x:f>IF(A34=5,'参数'!$B$45,IF(AND(A34&gt;=10,MOD(A34,5)=0),'参数'!$B$46,0))</x:f>
        <x:v>0</x:v>
      </x:c>
      <x:c r="G34" s="48" t="n">
        <x:f>G33+B34*('参数'!$B$32+'参数'!$B$33)</x:f>
        <x:v>35602</x:v>
      </x:c>
      <x:c r="H34" s="48" t="n">
        <x:f>H33+C34*'参数'!$B$32+F34*'参数'!$B$33</x:f>
        <x:v>3386</x:v>
      </x:c>
      <x:c r="I34" s="48" t="n">
        <x:f>I33+D34*'参数'!$B$33+E34*'参数'!$B$32</x:f>
        <x:v>743</x:v>
      </x:c>
      <x:c r="J34" s="36"/>
      <x:c r="K34" s="48" t="n">
        <x:v>28</x:v>
      </x:c>
      <x:c r="L34" s="48" t="n">
        <x:f>L33+M33</x:f>
        <x:v>74250</x:v>
      </x:c>
      <x:c r="M34" s="48" t="n">
        <x:f>'参数'!$B$35+'参数'!$B$36*(K34-1)</x:f>
        <x:v>5550</x:v>
      </x:c>
      <x:c r="N34" s="62"/>
      <x:c r="O34" s="62"/>
    </x:row>
    <x:row r="35" ht="25" customHeight="1">
      <x:c r="A35" s="48" t="n">
        <x:v>28</x:v>
      </x:c>
      <x:c r="B35" s="48" t="n">
        <x:f>$B$17+'参数'!$B$38*(A35-10)</x:f>
        <x:v>311</x:v>
      </x:c>
      <x:c r="C35" s="48" t="n">
        <x:f>$C$17+ROUNDUP('参数'!$B$39*(A35-10),0)</x:f>
        <x:v>68</x:v>
      </x:c>
      <x:c r="D35" s="48" t="n">
        <x:f>$D$17+ROUNDUP('参数'!$B$40*(A35-10),0)</x:f>
        <x:v>13</x:v>
      </x:c>
      <x:c r="E35" s="48" t="n">
        <x:f>IF(A35=5,'参数'!$B$43,IF(AND(A35&gt;=10,MOD(A35,5)=0),'参数'!$B$44,0))</x:f>
        <x:v>0</x:v>
      </x:c>
      <x:c r="F35" s="48" t="n">
        <x:f>IF(A35=5,'参数'!$B$45,IF(AND(A35&gt;=10,MOD(A35,5)=0),'参数'!$B$46,0))</x:f>
        <x:v>0</x:v>
      </x:c>
      <x:c r="G35" s="48" t="n">
        <x:f>G34+B35*('参数'!$B$32+'参数'!$B$33)</x:f>
        <x:v>37779</x:v>
      </x:c>
      <x:c r="H35" s="48" t="n">
        <x:f>H34+C35*'参数'!$B$32+F35*'参数'!$B$33</x:f>
        <x:v>3590</x:v>
      </x:c>
      <x:c r="I35" s="48" t="n">
        <x:f>I34+D35*'参数'!$B$33+E35*'参数'!$B$32</x:f>
        <x:v>795</x:v>
      </x:c>
      <x:c r="J35" s="36"/>
      <x:c r="K35" s="48" t="n">
        <x:v>29</x:v>
      </x:c>
      <x:c r="L35" s="48" t="n">
        <x:f>L34+M34</x:f>
        <x:v>79800</x:v>
      </x:c>
      <x:c r="M35" s="48" t="n">
        <x:f>'参数'!$B$35+'参数'!$B$36*(K35-1)</x:f>
        <x:v>5750</x:v>
      </x:c>
      <x:c r="N35" s="62"/>
      <x:c r="O35" s="62"/>
    </x:row>
    <x:row r="36" ht="25" customHeight="1">
      <x:c r="A36" s="48" t="n">
        <x:v>29</x:v>
      </x:c>
      <x:c r="B36" s="48" t="n">
        <x:f>$B$17+'参数'!$B$38*(A36-10)</x:f>
        <x:v>318</x:v>
      </x:c>
      <x:c r="C36" s="48" t="n">
        <x:f>$C$17+ROUNDUP('参数'!$B$39*(A36-10),0)</x:f>
        <x:v>70</x:v>
      </x:c>
      <x:c r="D36" s="48" t="n">
        <x:f>$D$17+ROUNDUP('参数'!$B$40*(A36-10),0)</x:f>
        <x:v>13</x:v>
      </x:c>
      <x:c r="E36" s="48" t="n">
        <x:f>IF(A36=5,'参数'!$B$43,IF(AND(A36&gt;=10,MOD(A36,5)=0),'参数'!$B$44,0))</x:f>
        <x:v>0</x:v>
      </x:c>
      <x:c r="F36" s="48" t="n">
        <x:f>IF(A36=5,'参数'!$B$45,IF(AND(A36&gt;=10,MOD(A36,5)=0),'参数'!$B$46,0))</x:f>
        <x:v>0</x:v>
      </x:c>
      <x:c r="G36" s="48" t="n">
        <x:f>G35+B36*('参数'!$B$32+'参数'!$B$33)</x:f>
        <x:v>40005</x:v>
      </x:c>
      <x:c r="H36" s="48" t="n">
        <x:f>H35+C36*'参数'!$B$32+F36*'参数'!$B$33</x:f>
        <x:v>3800</x:v>
      </x:c>
      <x:c r="I36" s="48" t="n">
        <x:f>I35+D36*'参数'!$B$33+E36*'参数'!$B$32</x:f>
        <x:v>847</x:v>
      </x:c>
      <x:c r="J36" s="36"/>
      <x:c r="K36" s="48" t="n">
        <x:v>30</x:v>
      </x:c>
      <x:c r="L36" s="48" t="n">
        <x:f>L35+M35</x:f>
        <x:v>85550</x:v>
      </x:c>
      <x:c r="M36" s="48" t="n">
        <x:f>0</x:f>
        <x:v>0</x:v>
      </x:c>
      <x:c r="N36" s="62"/>
      <x:c r="O36" s="62"/>
    </x:row>
    <x:row r="37" ht="25" customHeight="1">
      <x:c r="A37" s="48" t="n">
        <x:v>30</x:v>
      </x:c>
      <x:c r="B37" s="48" t="n">
        <x:f>$B$17+'参数'!$B$38*(A37-10)</x:f>
        <x:v>325</x:v>
      </x:c>
      <x:c r="C37" s="48" t="n">
        <x:f>$C$17+ROUNDUP('参数'!$B$39*(A37-10),0)</x:f>
        <x:v>71</x:v>
      </x:c>
      <x:c r="D37" s="48" t="n">
        <x:f>$D$17+ROUNDUP('参数'!$B$40*(A37-10),0)</x:f>
        <x:v>13</x:v>
      </x:c>
      <x:c r="E37" s="48" t="n">
        <x:f>IF(A37=5,'参数'!$B$43,IF(AND(A37&gt;=10,MOD(A37,5)=0),'参数'!$B$44,0))</x:f>
        <x:v>3</x:v>
      </x:c>
      <x:c r="F37" s="48" t="n">
        <x:f>IF(A37=5,'参数'!$B$45,IF(AND(A37&gt;=10,MOD(A37,5)=0),'参数'!$B$46,0))</x:f>
        <x:v>15</x:v>
      </x:c>
      <x:c r="G37" s="48" t="n">
        <x:f>G36+B37*('参数'!$B$32+'参数'!$B$33)</x:f>
        <x:v>42280</x:v>
      </x:c>
      <x:c r="H37" s="48" t="n">
        <x:f>H36+C37*'参数'!$B$32+F37*'参数'!$B$33</x:f>
        <x:v>4073</x:v>
      </x:c>
      <x:c r="I37" s="48" t="n">
        <x:f>I36+D37*'参数'!$B$33+E37*'参数'!$B$32</x:f>
        <x:v>908</x:v>
      </x:c>
      <x:c r="J37" s="36"/>
      <x:c r="K37" s="36"/>
      <x:c r="L37" s="36"/>
      <x:c r="M37" s="36"/>
      <x:c r="N37" s="62"/>
      <x:c r="O37" s="62"/>
    </x:row>
    <x:row r="38" ht="25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62"/>
      <x:c r="O38" s="62"/>
    </x:row>
    <x:row r="39" ht="25" customHeight="1">
      <x:c r="A39" s="36" t="str">
        <x:v>两周目标覆盖七项Lv30，成本已包含所有里程碑交叉材料。</x:v>
      </x:c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62"/>
      <x:c r="O39" s="62"/>
    </x:row>
    <x:row r="40" ht="25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62"/>
      <x:c r="O40" s="62"/>
    </x:row>
    <x:row r="41" ht="25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62"/>
      <x:c r="O41" s="62"/>
    </x:row>
  </x:sheetData>
  <x:pageMargins left="0.7" right="0.7" top="0.75" bottom="0.75" header="0.3" footer="0.3"/>
</x:worksheet>
</file>